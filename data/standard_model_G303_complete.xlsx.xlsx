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3" autoFilterDateGrouping="1"/>
  </bookViews>
  <sheets>
    <sheet xmlns:r="http://schemas.openxmlformats.org/officeDocument/2006/relationships" name="Standard BOQ" sheetId="1" state="visible" r:id="rId1"/>
    <sheet xmlns:r="http://schemas.openxmlformats.org/officeDocument/2006/relationships" name="Standard Geometry" sheetId="2" state="visible" r:id="rId2"/>
    <sheet xmlns:r="http://schemas.openxmlformats.org/officeDocument/2006/relationships" name="Rules Library" sheetId="3" state="visible" r:id="rId3"/>
    <sheet xmlns:r="http://schemas.openxmlformats.org/officeDocument/2006/relationships" name="Instructions" sheetId="4" state="visible" r:id="rId4"/>
    <sheet xmlns:r="http://schemas.openxmlformats.org/officeDocument/2006/relationships" name="Structural Baseline" sheetId="5" state="visible" r:id="rId5"/>
    <sheet xmlns:r="http://schemas.openxmlformats.org/officeDocument/2006/relationships" name="Dependency Map" sheetId="6" state="visible" r:id="rId6"/>
  </sheets>
  <definedNames>
    <definedName name="_xlnm._FilterDatabase" localSheetId="0" hidden="1">'Standard BOQ'!$A$4:$I$393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FFFFFF"/>
      <sz val="10"/>
    </font>
    <font>
      <name val="Arial"/>
      <color rgb="FF7F3F00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color rgb="FF3B0066"/>
      <sz val="9"/>
    </font>
    <font>
      <name val="Arial"/>
      <b val="1"/>
      <color rgb="FF3B0066"/>
      <sz val="10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F00"/>
      </patternFill>
    </fill>
    <fill>
      <patternFill patternType="solid">
        <fgColor rgb="FFF5F9FF"/>
      </patternFill>
    </fill>
    <fill>
      <patternFill patternType="solid">
        <fgColor rgb="FFD5E8D4"/>
      </patternFill>
    </fill>
    <fill>
      <patternFill patternType="solid">
        <fgColor rgb="FFEDE0FF"/>
      </patternFill>
    </fill>
    <fill>
      <patternFill patternType="solid">
        <fgColor rgb="FFD9CCFF"/>
      </patternFill>
    </fill>
    <fill>
      <patternFill patternType="solid">
        <fgColor rgb="FFF4EDFF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4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3"/>
  <sheetViews>
    <sheetView workbookViewId="0">
      <pane ySplit="4" topLeftCell="A5" activePane="bottomLeft" state="frozen"/>
      <selection pane="bottomLeft" activeCell="J1" sqref="J1"/>
    </sheetView>
  </sheetViews>
  <sheetFormatPr baseColWidth="8" defaultRowHeight="14.4"/>
  <cols>
    <col width="20" customWidth="1" style="15" min="1" max="1"/>
    <col width="58" customWidth="1" style="15" min="2" max="2"/>
    <col width="10" customWidth="1" style="15" min="3" max="3"/>
    <col width="12" customWidth="1" style="15" min="4" max="5"/>
    <col width="12" customWidth="1" style="15" min="5" max="5"/>
    <col width="14" customWidth="1" style="15" min="6" max="6"/>
    <col width="12" customWidth="1" style="15" min="7" max="7"/>
    <col width="16" customWidth="1" style="15" min="8" max="8"/>
    <col width="34" customWidth="1" style="15" min="9" max="9"/>
  </cols>
  <sheetData>
    <row r="1" ht="28.05" customHeight="1" s="15">
      <c r="A1" s="19" t="inlineStr">
        <is>
          <t>STANDARD HOUSE MODEL — G303 WITH LAUNDRY (HIGHSET)</t>
        </is>
      </c>
    </row>
    <row r="2">
      <c r="A2" s="17" t="inlineStr">
        <is>
          <t>Standard BOQ — Approved Baseline from 25.07.2025 BOQ  |  Version: 2.0  |  Date: 2026-03-19  |  House Type: G303 With Laundry</t>
        </is>
      </c>
    </row>
    <row r="3" ht="16.05" customHeight="1" s="15">
      <c r="A3" s="14" t="inlineStr">
        <is>
          <t>BLUE cells = rates to be added from your rate library.  Standard Qty now populated from the approved standard-house BOQ.</t>
        </is>
      </c>
    </row>
    <row r="4" ht="22.05" customHeight="1" s="15">
      <c r="A4" s="1" t="inlineStr">
        <is>
          <t>Stock Code</t>
        </is>
      </c>
      <c r="B4" s="1" t="inlineStr">
        <is>
          <t>Description</t>
        </is>
      </c>
      <c r="C4" s="1" t="inlineStr">
        <is>
          <t>Unit</t>
        </is>
      </c>
      <c r="D4" s="1" t="inlineStr">
        <is>
          <t>Standard Qty</t>
        </is>
      </c>
      <c r="E4" s="1" t="inlineStr">
        <is>
          <t>Rate (PGK)</t>
        </is>
      </c>
      <c r="F4" s="1" t="inlineStr">
        <is>
          <t>Amount (PGK)</t>
        </is>
      </c>
      <c r="G4" s="1" t="inlineStr">
        <is>
          <t>Confidence</t>
        </is>
      </c>
      <c r="H4" s="1" t="inlineStr">
        <is>
          <t>Source</t>
        </is>
      </c>
      <c r="I4" s="1" t="inlineStr">
        <is>
          <t>Notes</t>
        </is>
      </c>
    </row>
    <row r="5" ht="18" customHeight="1" s="15">
      <c r="A5" s="16" t="inlineStr">
        <is>
          <t>50106 -  WPC</t>
        </is>
      </c>
      <c r="B5" s="24" t="n"/>
      <c r="C5" s="24" t="n"/>
      <c r="D5" s="24" t="n"/>
      <c r="E5" s="24" t="n"/>
      <c r="F5" s="24" t="n"/>
      <c r="G5" s="24" t="n"/>
      <c r="H5" s="24" t="n"/>
      <c r="I5" s="25" t="n"/>
    </row>
    <row r="6">
      <c r="A6" s="2" t="inlineStr">
        <is>
          <t>50106-TIS-001</t>
        </is>
      </c>
      <c r="B6" s="2" t="inlineStr">
        <is>
          <t>Timber Skirting | 25 x 75 x 2400mm Timber</t>
        </is>
      </c>
      <c r="C6" s="3" t="inlineStr">
        <is>
          <t>len</t>
        </is>
      </c>
      <c r="D6" s="4" t="n">
        <v>26</v>
      </c>
      <c r="E6" s="4" t="n"/>
      <c r="F6" s="2">
        <f>IFERROR(D6*E6,"")</f>
        <v/>
      </c>
      <c r="G6" s="3" t="inlineStr">
        <is>
          <t>High</t>
        </is>
      </c>
      <c r="H6" s="3" t="inlineStr">
        <is>
          <t>Approved BOQ</t>
        </is>
      </c>
      <c r="I6" s="2" t="inlineStr">
        <is>
          <t>Baseline standard-house quantity</t>
        </is>
      </c>
    </row>
    <row r="7">
      <c r="A7" s="2" t="inlineStr">
        <is>
          <t>50106-TIS-001</t>
        </is>
      </c>
      <c r="B7" s="2" t="inlineStr">
        <is>
          <t>Timber Architrave | 12 x 75 x 2400mm Timber</t>
        </is>
      </c>
      <c r="C7" s="3" t="inlineStr">
        <is>
          <t>len</t>
        </is>
      </c>
      <c r="D7" s="4" t="n">
        <v>21</v>
      </c>
      <c r="E7" s="4" t="n"/>
      <c r="F7" s="2">
        <f>IFERROR(D7*E7,"")</f>
        <v/>
      </c>
      <c r="G7" s="3" t="inlineStr">
        <is>
          <t>High</t>
        </is>
      </c>
      <c r="H7" s="3" t="inlineStr">
        <is>
          <t>Approved BOQ</t>
        </is>
      </c>
      <c r="I7" s="2" t="inlineStr">
        <is>
          <t>Baseline standard-house quantity</t>
        </is>
      </c>
    </row>
    <row r="8">
      <c r="A8" s="2" t="inlineStr">
        <is>
          <t>50106-TID-002</t>
        </is>
      </c>
      <c r="B8" s="2" t="inlineStr">
        <is>
          <t>Timber Decking | 25 x 100 x 3000mm Timber</t>
        </is>
      </c>
      <c r="C8" s="3" t="inlineStr">
        <is>
          <t>len</t>
        </is>
      </c>
      <c r="D8" s="4" t="n">
        <v>48</v>
      </c>
      <c r="E8" s="4" t="n"/>
      <c r="F8" s="2">
        <f>IFERROR(D8*E8,"")</f>
        <v/>
      </c>
      <c r="G8" s="3" t="inlineStr">
        <is>
          <t>High</t>
        </is>
      </c>
      <c r="H8" s="3" t="inlineStr">
        <is>
          <t>Approved BOQ</t>
        </is>
      </c>
      <c r="I8" s="2" t="inlineStr">
        <is>
          <t>Baseline standard-house quantity</t>
        </is>
      </c>
    </row>
    <row r="9">
      <c r="A9" s="2" t="inlineStr">
        <is>
          <t>50106-TIS-001</t>
        </is>
      </c>
      <c r="B9" s="2" t="inlineStr">
        <is>
          <t>Timber Skirting | 25 x 75 x 2400mm Timber</t>
        </is>
      </c>
      <c r="C9" s="3" t="inlineStr">
        <is>
          <t>len</t>
        </is>
      </c>
      <c r="D9" s="4" t="n">
        <v>33</v>
      </c>
      <c r="E9" s="4" t="n"/>
      <c r="F9" s="2">
        <f>IFERROR(D9*E9,"")</f>
        <v/>
      </c>
      <c r="G9" s="3" t="inlineStr">
        <is>
          <t>High</t>
        </is>
      </c>
      <c r="H9" s="3" t="inlineStr">
        <is>
          <t>Approved BOQ</t>
        </is>
      </c>
      <c r="I9" s="2" t="inlineStr">
        <is>
          <t>Baseline standard-house quantity</t>
        </is>
      </c>
    </row>
    <row r="10">
      <c r="A10" s="2" t="inlineStr">
        <is>
          <t>50106-TIC-001</t>
        </is>
      </c>
      <c r="B10" s="2" t="inlineStr">
        <is>
          <t>Timber Cornice | 25 x 25 x 2400mm Timber Cornice</t>
        </is>
      </c>
      <c r="C10" s="3" t="inlineStr">
        <is>
          <t>each</t>
        </is>
      </c>
      <c r="D10" s="4" t="n">
        <v>33</v>
      </c>
      <c r="E10" s="4" t="n"/>
      <c r="F10" s="2">
        <f>IFERROR(D10*E10,"")</f>
        <v/>
      </c>
      <c r="G10" s="3" t="inlineStr">
        <is>
          <t>High</t>
        </is>
      </c>
      <c r="H10" s="3" t="inlineStr">
        <is>
          <t>Approved BOQ</t>
        </is>
      </c>
      <c r="I10" s="2" t="inlineStr">
        <is>
          <t>Baseline standard-house quantity</t>
        </is>
      </c>
    </row>
    <row r="11">
      <c r="A11" s="2" t="inlineStr">
        <is>
          <t>50111-SCC-013</t>
        </is>
      </c>
      <c r="B11" s="2" t="inlineStr">
        <is>
          <t>Fixing | 8G - 10 x 50 Countersunk DP self drilling screw</t>
        </is>
      </c>
      <c r="C11" s="3" t="inlineStr">
        <is>
          <t>each</t>
        </is>
      </c>
      <c r="D11" s="4" t="n">
        <v>1200</v>
      </c>
      <c r="E11" s="4" t="n"/>
      <c r="F11" s="2">
        <f>IFERROR(D11*E11,"")</f>
        <v/>
      </c>
      <c r="G11" s="3" t="inlineStr">
        <is>
          <t>High</t>
        </is>
      </c>
      <c r="H11" s="3" t="inlineStr">
        <is>
          <t>Approved BOQ</t>
        </is>
      </c>
      <c r="I11" s="2" t="inlineStr">
        <is>
          <t>Baseline standard-house quantity</t>
        </is>
      </c>
    </row>
    <row r="12">
      <c r="A12" s="16" t="inlineStr">
        <is>
          <t>50107 - STRUCTURAL &amp; BASE STEEL &amp; FOOTINGS (POSTS)</t>
        </is>
      </c>
      <c r="B12" s="24" t="n"/>
      <c r="C12" s="24" t="n"/>
      <c r="D12" s="24" t="n"/>
      <c r="E12" s="24" t="n"/>
      <c r="F12" s="24" t="n"/>
      <c r="G12" s="24" t="n"/>
      <c r="H12" s="24" t="n"/>
      <c r="I12" s="25" t="n"/>
    </row>
    <row r="13">
      <c r="A13" s="2" t="inlineStr">
        <is>
          <t>50107-FRA-001</t>
        </is>
      </c>
      <c r="B13" s="2" t="inlineStr">
        <is>
          <t>Framecad Wall | LGS C89, 0.755BMT, G550, Z275, meter rate</t>
        </is>
      </c>
      <c r="C13" s="3" t="inlineStr">
        <is>
          <t>m</t>
        </is>
      </c>
      <c r="D13" s="4" t="n">
        <v>753</v>
      </c>
      <c r="E13" s="4" t="n"/>
      <c r="F13" s="2">
        <f>IFERROR(D13*E13,"")</f>
        <v/>
      </c>
      <c r="G13" s="3" t="inlineStr">
        <is>
          <t>High</t>
        </is>
      </c>
      <c r="H13" s="3" t="inlineStr">
        <is>
          <t>Approved BOQ</t>
        </is>
      </c>
      <c r="I13" s="2" t="inlineStr">
        <is>
          <t>Baseline standard-house quantity</t>
        </is>
      </c>
    </row>
    <row r="14">
      <c r="A14" s="2" t="inlineStr">
        <is>
          <t>50107-FRA-001</t>
        </is>
      </c>
      <c r="B14" s="2" t="inlineStr">
        <is>
          <t>Framecad Truss | LGS C89, 0.75BMT, G550, Z275, meter rate</t>
        </is>
      </c>
      <c r="C14" s="3" t="inlineStr">
        <is>
          <t>m</t>
        </is>
      </c>
      <c r="D14" s="4" t="n">
        <v>490</v>
      </c>
      <c r="E14" s="4" t="n"/>
      <c r="F14" s="2">
        <f>IFERROR(D14*E14,"")</f>
        <v/>
      </c>
      <c r="G14" s="3" t="inlineStr">
        <is>
          <t>High</t>
        </is>
      </c>
      <c r="H14" s="3" t="inlineStr">
        <is>
          <t>Approved BOQ</t>
        </is>
      </c>
      <c r="I14" s="2" t="inlineStr">
        <is>
          <t>Baseline standard-house quantity</t>
        </is>
      </c>
    </row>
    <row r="15">
      <c r="A15" s="2" t="inlineStr">
        <is>
          <t>50107-FCP-001</t>
        </is>
      </c>
      <c r="B15" s="2" t="inlineStr">
        <is>
          <t>2398 J x 2998mm B, 1.8KPa Standard Floor Panel</t>
        </is>
      </c>
      <c r="C15" s="3" t="inlineStr">
        <is>
          <t>set</t>
        </is>
      </c>
      <c r="D15" s="4" t="n">
        <v>9</v>
      </c>
      <c r="E15" s="4" t="n"/>
      <c r="F15" s="2">
        <f>IFERROR(D15*E15,"")</f>
        <v/>
      </c>
      <c r="G15" s="3" t="inlineStr">
        <is>
          <t>High</t>
        </is>
      </c>
      <c r="H15" s="3" t="inlineStr">
        <is>
          <t>Approved BOQ</t>
        </is>
      </c>
      <c r="I15" s="2" t="inlineStr">
        <is>
          <t>Baseline standard-house quantity</t>
        </is>
      </c>
    </row>
    <row r="16" ht="18" customHeight="1" s="15">
      <c r="A16" s="2" t="inlineStr"/>
      <c r="B16" s="2" t="inlineStr">
        <is>
          <t>Floor Bearer 1.8Kpa, 2998mm</t>
        </is>
      </c>
      <c r="C16" s="3" t="inlineStr">
        <is>
          <t>Pair</t>
        </is>
      </c>
      <c r="D16" s="4" t="n">
        <v>9</v>
      </c>
      <c r="E16" s="4" t="n"/>
      <c r="F16" s="2">
        <f>IFERROR(D16*E16,"")</f>
        <v/>
      </c>
      <c r="G16" s="3" t="inlineStr">
        <is>
          <t>High</t>
        </is>
      </c>
      <c r="H16" s="3" t="inlineStr">
        <is>
          <t>Approved BOQ</t>
        </is>
      </c>
      <c r="I16" s="2" t="inlineStr">
        <is>
          <t>Derived from approved BOQ formula =C19</t>
        </is>
      </c>
    </row>
    <row r="17">
      <c r="A17" s="2" t="inlineStr"/>
      <c r="B17" s="2" t="inlineStr">
        <is>
          <t>Floor Joist C150, 2268mm</t>
        </is>
      </c>
      <c r="C17" s="3" t="inlineStr">
        <is>
          <t>len</t>
        </is>
      </c>
      <c r="D17" s="4" t="n">
        <v>81</v>
      </c>
      <c r="E17" s="4" t="n"/>
      <c r="F17" s="2">
        <f>IFERROR(D17*E17,"")</f>
        <v/>
      </c>
      <c r="G17" s="3" t="inlineStr">
        <is>
          <t>High</t>
        </is>
      </c>
      <c r="H17" s="3" t="inlineStr">
        <is>
          <t>Approved BOQ</t>
        </is>
      </c>
      <c r="I17" s="2" t="inlineStr">
        <is>
          <t>Derived from approved BOQ formula =C20*9</t>
        </is>
      </c>
    </row>
    <row r="18">
      <c r="A18" s="2" t="inlineStr"/>
      <c r="B18" s="2" t="inlineStr">
        <is>
          <t>2398 J x 2998mm B, 4KPa Standard Floor Panel</t>
        </is>
      </c>
      <c r="C18" s="3" t="inlineStr">
        <is>
          <t>set</t>
        </is>
      </c>
      <c r="D18" s="4" t="n">
        <v>2</v>
      </c>
      <c r="E18" s="4" t="n"/>
      <c r="F18" s="2">
        <f>IFERROR(D18*E18,"")</f>
        <v/>
      </c>
      <c r="G18" s="3" t="inlineStr">
        <is>
          <t>High</t>
        </is>
      </c>
      <c r="H18" s="3" t="inlineStr">
        <is>
          <t>Approved BOQ</t>
        </is>
      </c>
      <c r="I18" s="2" t="inlineStr">
        <is>
          <t>Baseline standard-house quantity</t>
        </is>
      </c>
    </row>
    <row r="19">
      <c r="A19" s="2" t="inlineStr"/>
      <c r="B19" s="2" t="inlineStr">
        <is>
          <t>Floor Bearer 4Kpa, 2998mm</t>
        </is>
      </c>
      <c r="C19" s="3" t="inlineStr">
        <is>
          <t>Pair</t>
        </is>
      </c>
      <c r="D19" s="4" t="n">
        <v>2</v>
      </c>
      <c r="E19" s="4" t="n"/>
      <c r="F19" s="2">
        <f>IFERROR(D19*E19,"")</f>
        <v/>
      </c>
      <c r="G19" s="3" t="inlineStr">
        <is>
          <t>High</t>
        </is>
      </c>
      <c r="H19" s="3" t="inlineStr">
        <is>
          <t>Approved BOQ</t>
        </is>
      </c>
      <c r="I19" s="2" t="inlineStr">
        <is>
          <t>Derived from approved BOQ formula =C22</t>
        </is>
      </c>
    </row>
    <row r="20">
      <c r="A20" s="2" t="inlineStr"/>
      <c r="B20" s="2" t="inlineStr">
        <is>
          <t>Floor Joist C150, 2268mm</t>
        </is>
      </c>
      <c r="C20" s="3" t="inlineStr">
        <is>
          <t>len</t>
        </is>
      </c>
      <c r="D20" s="4" t="n">
        <v>22</v>
      </c>
      <c r="E20" s="4" t="n"/>
      <c r="F20" s="2">
        <f>IFERROR(D20*E20,"")</f>
        <v/>
      </c>
      <c r="G20" s="3" t="inlineStr">
        <is>
          <t>High</t>
        </is>
      </c>
      <c r="H20" s="3" t="inlineStr">
        <is>
          <t>Approved BOQ</t>
        </is>
      </c>
      <c r="I20" s="2" t="inlineStr">
        <is>
          <t>Derived from approved BOQ formula =C23*11</t>
        </is>
      </c>
    </row>
    <row r="21">
      <c r="A21" s="2" t="inlineStr">
        <is>
          <t>50107-SHS-001</t>
        </is>
      </c>
      <c r="B21" s="2" t="inlineStr">
        <is>
          <t>Steel Post | 75 x 4mm SHS, Q345, HDG600, 3.6m</t>
        </is>
      </c>
      <c r="C21" s="3" t="inlineStr">
        <is>
          <t>len</t>
        </is>
      </c>
      <c r="D21" s="4" t="n">
        <v>15</v>
      </c>
      <c r="E21" s="4" t="n"/>
      <c r="F21" s="2">
        <f>IFERROR(D21*E21,"")</f>
        <v/>
      </c>
      <c r="G21" s="3" t="inlineStr">
        <is>
          <t>High</t>
        </is>
      </c>
      <c r="H21" s="3" t="inlineStr">
        <is>
          <t>Approved BOQ</t>
        </is>
      </c>
      <c r="I21" s="2" t="inlineStr">
        <is>
          <t>Baseline standard-house quantity</t>
        </is>
      </c>
    </row>
    <row r="22" ht="18" customHeight="1" s="15">
      <c r="A22" s="2" t="inlineStr">
        <is>
          <t>50107-SHS-001</t>
        </is>
      </c>
      <c r="B22" s="2" t="inlineStr">
        <is>
          <t>Steel Post | 75 x 4mm SHS, Q345, HDG600, 5.8m</t>
        </is>
      </c>
      <c r="C22" s="3" t="inlineStr">
        <is>
          <t>len</t>
        </is>
      </c>
      <c r="D22" s="4" t="n">
        <v>3</v>
      </c>
      <c r="E22" s="4" t="n"/>
      <c r="F22" s="2">
        <f>IFERROR(D22*E22,"")</f>
        <v/>
      </c>
      <c r="G22" s="3" t="inlineStr">
        <is>
          <t>High</t>
        </is>
      </c>
      <c r="H22" s="3" t="inlineStr">
        <is>
          <t>Approved BOQ</t>
        </is>
      </c>
      <c r="I22" s="2" t="inlineStr">
        <is>
          <t>Baseline standard-house quantity</t>
        </is>
      </c>
    </row>
    <row r="23">
      <c r="A23" s="2" t="inlineStr">
        <is>
          <t>50107-SHS-002</t>
        </is>
      </c>
      <c r="B23" s="2" t="inlineStr">
        <is>
          <t>Steel Beam | 75 x 4mm SHS, Q345, HDG600, 4.8m</t>
        </is>
      </c>
      <c r="C23" s="3" t="inlineStr">
        <is>
          <t>len</t>
        </is>
      </c>
      <c r="D23" s="4" t="n">
        <v>1</v>
      </c>
      <c r="E23" s="4" t="n"/>
      <c r="F23" s="2">
        <f>IFERROR(D23*E23,"")</f>
        <v/>
      </c>
      <c r="G23" s="3" t="inlineStr">
        <is>
          <t>High</t>
        </is>
      </c>
      <c r="H23" s="3" t="inlineStr">
        <is>
          <t>Approved BOQ</t>
        </is>
      </c>
      <c r="I23" s="2" t="inlineStr">
        <is>
          <t>Baseline standard-house quantity</t>
        </is>
      </c>
    </row>
    <row r="24">
      <c r="A24" s="2" t="inlineStr">
        <is>
          <t>50107-SHS-003</t>
        </is>
      </c>
      <c r="B24" s="2" t="inlineStr">
        <is>
          <t>Steel Beam | 75 x 4mm SHS, Q345, HDG600, 2.5m</t>
        </is>
      </c>
      <c r="C24" s="3" t="inlineStr">
        <is>
          <t>len</t>
        </is>
      </c>
      <c r="D24" s="4" t="n">
        <v>1</v>
      </c>
      <c r="E24" s="4" t="n"/>
      <c r="F24" s="2">
        <f>IFERROR(D24*E24,"")</f>
        <v/>
      </c>
      <c r="G24" s="3" t="inlineStr">
        <is>
          <t>High</t>
        </is>
      </c>
      <c r="H24" s="3" t="inlineStr">
        <is>
          <t>Approved BOQ</t>
        </is>
      </c>
      <c r="I24" s="2" t="inlineStr">
        <is>
          <t>Baseline standard-house quantity</t>
        </is>
      </c>
    </row>
    <row r="25">
      <c r="A25" s="2" t="inlineStr">
        <is>
          <t>50107-ANC-001</t>
        </is>
      </c>
      <c r="B25" s="2" t="inlineStr">
        <is>
          <t>HDG Support Angle VA1 | 75 x 75 x 3mm</t>
        </is>
      </c>
      <c r="C25" s="3" t="inlineStr">
        <is>
          <t>each</t>
        </is>
      </c>
      <c r="D25" s="4" t="n">
        <v>4</v>
      </c>
      <c r="E25" s="4" t="n"/>
      <c r="F25" s="2">
        <f>IFERROR(D25*E25,"")</f>
        <v/>
      </c>
      <c r="G25" s="3" t="inlineStr">
        <is>
          <t>High</t>
        </is>
      </c>
      <c r="H25" s="3" t="inlineStr">
        <is>
          <t>Approved BOQ</t>
        </is>
      </c>
      <c r="I25" s="2" t="inlineStr">
        <is>
          <t>Baseline standard-house quantity</t>
        </is>
      </c>
    </row>
    <row r="26">
      <c r="A26" s="2" t="inlineStr">
        <is>
          <t>50107-ANC-004</t>
        </is>
      </c>
      <c r="B26" s="2" t="inlineStr">
        <is>
          <t>Verandah Roof to Wall Tie Down | Continuous 40 x 40mm Angle. 0.95BMT, G550, Z275</t>
        </is>
      </c>
      <c r="C26" s="3" t="inlineStr">
        <is>
          <t>m</t>
        </is>
      </c>
      <c r="D26" s="4" t="n">
        <v>8</v>
      </c>
      <c r="E26" s="4" t="n"/>
      <c r="F26" s="2">
        <f>IFERROR(D26*E26,"")</f>
        <v/>
      </c>
      <c r="G26" s="3" t="inlineStr">
        <is>
          <t>High</t>
        </is>
      </c>
      <c r="H26" s="3" t="inlineStr">
        <is>
          <t>Approved BOQ</t>
        </is>
      </c>
      <c r="I26" s="2" t="inlineStr">
        <is>
          <t>Baseline standard-house quantity</t>
        </is>
      </c>
    </row>
    <row r="27">
      <c r="A27" s="2" t="inlineStr">
        <is>
          <t>50107-PIH-00A</t>
        </is>
      </c>
      <c r="B27" s="2" t="inlineStr">
        <is>
          <t>PH (Corner) | PHA Bracket, Q340, HDG</t>
        </is>
      </c>
      <c r="C27" s="3" t="inlineStr">
        <is>
          <t>each</t>
        </is>
      </c>
      <c r="D27" s="4" t="n">
        <v>4</v>
      </c>
      <c r="E27" s="4" t="n"/>
      <c r="F27" s="2">
        <f>IFERROR(D27*E27,"")</f>
        <v/>
      </c>
      <c r="G27" s="3" t="inlineStr">
        <is>
          <t>High</t>
        </is>
      </c>
      <c r="H27" s="3" t="inlineStr">
        <is>
          <t>Approved BOQ</t>
        </is>
      </c>
      <c r="I27" s="2" t="inlineStr">
        <is>
          <t>Baseline standard-house quantity</t>
        </is>
      </c>
    </row>
    <row r="28">
      <c r="A28" s="2" t="inlineStr">
        <is>
          <t>50107-PIH-00B</t>
        </is>
      </c>
      <c r="B28" s="2" t="inlineStr">
        <is>
          <t>PH (Central) | PHB Bracket, Q340, HDG</t>
        </is>
      </c>
      <c r="C28" s="3" t="inlineStr">
        <is>
          <t>each</t>
        </is>
      </c>
      <c r="D28" s="4" t="n">
        <v>4</v>
      </c>
      <c r="E28" s="4" t="n"/>
      <c r="F28" s="2">
        <f>IFERROR(D28*E28,"")</f>
        <v/>
      </c>
      <c r="G28" s="3" t="inlineStr">
        <is>
          <t>High</t>
        </is>
      </c>
      <c r="H28" s="3" t="inlineStr">
        <is>
          <t>Approved BOQ</t>
        </is>
      </c>
      <c r="I28" s="2" t="inlineStr">
        <is>
          <t>Baseline standard-house quantity</t>
        </is>
      </c>
    </row>
    <row r="29">
      <c r="A29" s="2" t="inlineStr">
        <is>
          <t>50107-PIH-00D</t>
        </is>
      </c>
      <c r="B29" s="2" t="inlineStr">
        <is>
          <t>PH (Perimeter) | PHD Bracket, Q340, HDG</t>
        </is>
      </c>
      <c r="C29" s="3" t="inlineStr">
        <is>
          <t>each</t>
        </is>
      </c>
      <c r="D29" s="4" t="n">
        <v>7</v>
      </c>
      <c r="E29" s="4" t="n"/>
      <c r="F29" s="2">
        <f>IFERROR(D29*E29,"")</f>
        <v/>
      </c>
      <c r="G29" s="3" t="inlineStr">
        <is>
          <t>High</t>
        </is>
      </c>
      <c r="H29" s="3" t="inlineStr">
        <is>
          <t>Approved BOQ</t>
        </is>
      </c>
      <c r="I29" s="2" t="inlineStr">
        <is>
          <t>Baseline standard-house quantity</t>
        </is>
      </c>
    </row>
    <row r="30">
      <c r="A30" s="2" t="inlineStr">
        <is>
          <t>50107-SHS-002</t>
        </is>
      </c>
      <c r="B30" s="2" t="inlineStr">
        <is>
          <t>Steel Beam | 75 x 4mm SHS, Q345, HDG600, 4.8m</t>
        </is>
      </c>
      <c r="C30" s="3" t="inlineStr">
        <is>
          <t>len</t>
        </is>
      </c>
      <c r="D30" s="4" t="n">
        <v>4</v>
      </c>
      <c r="E30" s="4" t="n"/>
      <c r="F30" s="2">
        <f>IFERROR(D30*E30,"")</f>
        <v/>
      </c>
      <c r="G30" s="3" t="inlineStr">
        <is>
          <t>High</t>
        </is>
      </c>
      <c r="H30" s="3" t="inlineStr">
        <is>
          <t>Approved BOQ</t>
        </is>
      </c>
      <c r="I30" s="2" t="inlineStr">
        <is>
          <t>Baseline standard-house quantity</t>
        </is>
      </c>
    </row>
    <row r="31">
      <c r="A31" s="2" t="inlineStr">
        <is>
          <t>50107-ANC-002</t>
        </is>
      </c>
      <c r="B31" s="2" t="inlineStr">
        <is>
          <t>HDG Support Angle VA2 | 75 x 75 x 6mm</t>
        </is>
      </c>
      <c r="C31" s="3" t="inlineStr">
        <is>
          <t>each</t>
        </is>
      </c>
      <c r="D31" s="4" t="n">
        <v>11</v>
      </c>
      <c r="E31" s="4" t="n"/>
      <c r="F31" s="2">
        <f>IFERROR(D31*E31,"")</f>
        <v/>
      </c>
      <c r="G31" s="3" t="inlineStr">
        <is>
          <t>High</t>
        </is>
      </c>
      <c r="H31" s="3" t="inlineStr">
        <is>
          <t>Approved BOQ</t>
        </is>
      </c>
      <c r="I31" s="2" t="inlineStr">
        <is>
          <t>Baseline standard-house quantity</t>
        </is>
      </c>
    </row>
    <row r="32">
      <c r="A32" s="2" t="inlineStr">
        <is>
          <t>50107-ANC-003</t>
        </is>
      </c>
      <c r="B32" s="2" t="inlineStr">
        <is>
          <t>DB | 40x40x3mm Angle Bracing - 3500mm</t>
        </is>
      </c>
      <c r="C32" s="3" t="inlineStr">
        <is>
          <t>len</t>
        </is>
      </c>
      <c r="D32" s="4" t="n">
        <v>12</v>
      </c>
      <c r="E32" s="4" t="n"/>
      <c r="F32" s="2">
        <f>IFERROR(D32*E32,"")</f>
        <v/>
      </c>
      <c r="G32" s="3" t="inlineStr">
        <is>
          <t>High</t>
        </is>
      </c>
      <c r="H32" s="3" t="inlineStr">
        <is>
          <t>Approved BOQ</t>
        </is>
      </c>
      <c r="I32" s="2" t="inlineStr">
        <is>
          <t>Baseline standard-house quantity</t>
        </is>
      </c>
    </row>
    <row r="33">
      <c r="A33" s="2" t="inlineStr"/>
      <c r="B33" s="2" t="inlineStr">
        <is>
          <t>Post Bracing End Plate | 50mm x 98mm x 147mm x 6mm Thk with 2- 14mm dia. hole</t>
        </is>
      </c>
      <c r="C33" s="3" t="inlineStr">
        <is>
          <t>each</t>
        </is>
      </c>
      <c r="D33" s="4" t="n">
        <v>24</v>
      </c>
      <c r="E33" s="4" t="n"/>
      <c r="F33" s="2">
        <f>IFERROR(D33*E33,"")</f>
        <v/>
      </c>
      <c r="G33" s="3" t="inlineStr">
        <is>
          <t>High</t>
        </is>
      </c>
      <c r="H33" s="3" t="inlineStr">
        <is>
          <t>Approved BOQ</t>
        </is>
      </c>
      <c r="I33" s="2" t="inlineStr">
        <is>
          <t>Derived from approved BOQ formula =C36*2</t>
        </is>
      </c>
    </row>
    <row r="34">
      <c r="A34" s="2" t="inlineStr"/>
      <c r="B34" s="2" t="inlineStr">
        <is>
          <t>Fixing | M16 x 25mm Bolts with Nuts &amp; Washer</t>
        </is>
      </c>
      <c r="C34" s="3" t="inlineStr">
        <is>
          <t>each</t>
        </is>
      </c>
      <c r="D34" s="4" t="n">
        <v>12</v>
      </c>
      <c r="E34" s="4" t="n"/>
      <c r="F34" s="2">
        <f>IFERROR(D34*E34,"")</f>
        <v/>
      </c>
      <c r="G34" s="3" t="inlineStr">
        <is>
          <t>High</t>
        </is>
      </c>
      <c r="H34" s="3" t="inlineStr">
        <is>
          <t>Approved BOQ</t>
        </is>
      </c>
      <c r="I34" s="2" t="inlineStr">
        <is>
          <t>Derived from approved BOQ formula =C36</t>
        </is>
      </c>
    </row>
    <row r="35">
      <c r="A35" s="2" t="inlineStr">
        <is>
          <t>50107-STR-001</t>
        </is>
      </c>
      <c r="B35" s="2" t="inlineStr">
        <is>
          <t>Roof Bracing | 0.95 x 32mm Strap Brace 30 metre</t>
        </is>
      </c>
      <c r="C35" s="3" t="inlineStr">
        <is>
          <t>lm</t>
        </is>
      </c>
      <c r="D35" s="4" t="n">
        <v>90</v>
      </c>
      <c r="E35" s="4" t="n"/>
      <c r="F35" s="2">
        <f>IFERROR(D35*E35,"")</f>
        <v/>
      </c>
      <c r="G35" s="3" t="inlineStr">
        <is>
          <t>High</t>
        </is>
      </c>
      <c r="H35" s="3" t="inlineStr">
        <is>
          <t>Approved BOQ</t>
        </is>
      </c>
      <c r="I35" s="2" t="inlineStr">
        <is>
          <t>Baseline standard-house quantity</t>
        </is>
      </c>
    </row>
    <row r="36">
      <c r="A36" s="2" t="inlineStr">
        <is>
          <t>50107-STR-002</t>
        </is>
      </c>
      <c r="B36" s="2" t="inlineStr">
        <is>
          <t>Roof Bracing | Bracing Tensioners</t>
        </is>
      </c>
      <c r="C36" s="3" t="inlineStr">
        <is>
          <t>each</t>
        </is>
      </c>
      <c r="D36" s="4" t="n">
        <v>15</v>
      </c>
      <c r="E36" s="4" t="n"/>
      <c r="F36" s="2">
        <f>IFERROR(D36*E36,"")</f>
        <v/>
      </c>
      <c r="G36" s="3" t="inlineStr">
        <is>
          <t>High</t>
        </is>
      </c>
      <c r="H36" s="3" t="inlineStr">
        <is>
          <t>Approved BOQ</t>
        </is>
      </c>
      <c r="I36" s="2" t="inlineStr">
        <is>
          <t>Baseline standard-house quantity</t>
        </is>
      </c>
    </row>
    <row r="37">
      <c r="A37" s="2" t="inlineStr">
        <is>
          <t>50107-BAT-002</t>
        </is>
      </c>
      <c r="B37" s="2" t="inlineStr">
        <is>
          <t>Roof Batten | 41mm Top Hat, G550, Z275 5800mm</t>
        </is>
      </c>
      <c r="C37" s="3" t="inlineStr">
        <is>
          <t>len</t>
        </is>
      </c>
      <c r="D37" s="4" t="n">
        <v>48</v>
      </c>
      <c r="E37" s="4" t="n"/>
      <c r="F37" s="2">
        <f>IFERROR(D37*E37,"")</f>
        <v/>
      </c>
      <c r="G37" s="3" t="inlineStr">
        <is>
          <t>High</t>
        </is>
      </c>
      <c r="H37" s="3" t="inlineStr">
        <is>
          <t>Approved BOQ</t>
        </is>
      </c>
      <c r="I37" s="2" t="inlineStr">
        <is>
          <t>Baseline standard-house quantity</t>
        </is>
      </c>
    </row>
    <row r="38">
      <c r="A38" s="2" t="inlineStr">
        <is>
          <t>50107-BAT-002</t>
        </is>
      </c>
      <c r="B38" s="2" t="inlineStr">
        <is>
          <t>Roof Batten | 41mm Top Hat, G550, Z275 5800mm</t>
        </is>
      </c>
      <c r="C38" s="3" t="inlineStr">
        <is>
          <t>len</t>
        </is>
      </c>
      <c r="D38" s="4" t="n">
        <v>36</v>
      </c>
      <c r="E38" s="4" t="n"/>
      <c r="F38" s="2">
        <f>IFERROR(D38*E38,"")</f>
        <v/>
      </c>
      <c r="G38" s="3" t="inlineStr">
        <is>
          <t>High</t>
        </is>
      </c>
      <c r="H38" s="3" t="inlineStr">
        <is>
          <t>Approved BOQ</t>
        </is>
      </c>
      <c r="I38" s="2" t="inlineStr">
        <is>
          <t>Baseline standard-house quantity</t>
        </is>
      </c>
    </row>
    <row r="39">
      <c r="A39" s="2" t="inlineStr">
        <is>
          <t>50107-BAT-001</t>
        </is>
      </c>
      <c r="B39" s="2" t="inlineStr">
        <is>
          <t>Ceiling Batten | 20mm Top Hat, G350, Z275 5800mm</t>
        </is>
      </c>
      <c r="C39" s="3" t="inlineStr">
        <is>
          <t>len</t>
        </is>
      </c>
      <c r="D39" s="4" t="n">
        <v>38</v>
      </c>
      <c r="E39" s="4" t="n"/>
      <c r="F39" s="2">
        <f>IFERROR(D39*E39,"")</f>
        <v/>
      </c>
      <c r="G39" s="3" t="inlineStr">
        <is>
          <t>High</t>
        </is>
      </c>
      <c r="H39" s="3" t="inlineStr">
        <is>
          <t>Approved BOQ</t>
        </is>
      </c>
      <c r="I39" s="2" t="inlineStr">
        <is>
          <t>Baseline standard-house quantity</t>
        </is>
      </c>
    </row>
    <row r="40">
      <c r="A40" s="2" t="inlineStr">
        <is>
          <t>50107-ANC-007</t>
        </is>
      </c>
      <c r="B40" s="2" t="inlineStr">
        <is>
          <t>Triple Grip - Right | Pryda Multi Grip 100 x 35 x 35</t>
        </is>
      </c>
      <c r="C40" s="3" t="inlineStr">
        <is>
          <t>each</t>
        </is>
      </c>
      <c r="D40" s="4" t="n">
        <v>25</v>
      </c>
      <c r="E40" s="4" t="n"/>
      <c r="F40" s="2">
        <f>IFERROR(D40*E40,"")</f>
        <v/>
      </c>
      <c r="G40" s="3" t="inlineStr">
        <is>
          <t>High</t>
        </is>
      </c>
      <c r="H40" s="3" t="inlineStr">
        <is>
          <t>Approved BOQ</t>
        </is>
      </c>
      <c r="I40" s="2" t="inlineStr">
        <is>
          <t>Baseline standard-house quantity</t>
        </is>
      </c>
    </row>
    <row r="41">
      <c r="A41" s="2" t="inlineStr">
        <is>
          <t>50107-ANC-008</t>
        </is>
      </c>
      <c r="B41" s="2" t="inlineStr">
        <is>
          <t>Triple Grip - Left | Pryda Multi Grip 100 x 35 x 35</t>
        </is>
      </c>
      <c r="C41" s="3" t="inlineStr">
        <is>
          <t>each</t>
        </is>
      </c>
      <c r="D41" s="4" t="n">
        <v>25</v>
      </c>
      <c r="E41" s="4" t="n"/>
      <c r="F41" s="2">
        <f>IFERROR(D41*E41,"")</f>
        <v/>
      </c>
      <c r="G41" s="3" t="inlineStr">
        <is>
          <t>High</t>
        </is>
      </c>
      <c r="H41" s="3" t="inlineStr">
        <is>
          <t>Approved BOQ</t>
        </is>
      </c>
      <c r="I41" s="2" t="inlineStr">
        <is>
          <t>Baseline standard-house quantity</t>
        </is>
      </c>
    </row>
    <row r="42">
      <c r="A42" s="2" t="inlineStr">
        <is>
          <t>50107-GRO-001</t>
        </is>
      </c>
      <c r="B42" s="2" t="inlineStr">
        <is>
          <t>Accessories | Grommet 35mm Dia</t>
        </is>
      </c>
      <c r="C42" s="3" t="inlineStr">
        <is>
          <t>each</t>
        </is>
      </c>
      <c r="D42" s="4" t="n">
        <v>200</v>
      </c>
      <c r="E42" s="4" t="n"/>
      <c r="F42" s="2">
        <f>IFERROR(D42*E42,"")</f>
        <v/>
      </c>
      <c r="G42" s="3" t="inlineStr">
        <is>
          <t>High</t>
        </is>
      </c>
      <c r="H42" s="3" t="inlineStr">
        <is>
          <t>Approved BOQ</t>
        </is>
      </c>
      <c r="I42" s="2" t="inlineStr">
        <is>
          <t>Baseline standard-house quantity</t>
        </is>
      </c>
    </row>
    <row r="43">
      <c r="A43" s="2" t="inlineStr">
        <is>
          <t>50107-ANC-017</t>
        </is>
      </c>
      <c r="B43" s="2" t="inlineStr">
        <is>
          <t>Accessories | Fix Plate Connector G350t, Z275, 0.95BMT</t>
        </is>
      </c>
      <c r="C43" s="3" t="inlineStr">
        <is>
          <t>each</t>
        </is>
      </c>
      <c r="D43" s="4" t="n">
        <v>40</v>
      </c>
      <c r="E43" s="4" t="n"/>
      <c r="F43" s="2">
        <f>IFERROR(D43*E43,"")</f>
        <v/>
      </c>
      <c r="G43" s="3" t="inlineStr">
        <is>
          <t>High</t>
        </is>
      </c>
      <c r="H43" s="3" t="inlineStr">
        <is>
          <t>Approved BOQ</t>
        </is>
      </c>
      <c r="I43" s="2" t="inlineStr">
        <is>
          <t>Baseline standard-house quantity</t>
        </is>
      </c>
    </row>
    <row r="44">
      <c r="A44" s="2" t="inlineStr">
        <is>
          <t>50107-ANC-019</t>
        </is>
      </c>
      <c r="B44" s="2" t="inlineStr">
        <is>
          <t>Accessories | Hold Down and Fix Washer G350t, Z275, 1.15BMT</t>
        </is>
      </c>
      <c r="C44" s="3" t="inlineStr">
        <is>
          <t>each</t>
        </is>
      </c>
      <c r="D44" s="4" t="n">
        <v>30</v>
      </c>
      <c r="E44" s="4" t="n"/>
      <c r="F44" s="2">
        <f>IFERROR(D44*E44,"")</f>
        <v/>
      </c>
      <c r="G44" s="3" t="inlineStr">
        <is>
          <t>High</t>
        </is>
      </c>
      <c r="H44" s="3" t="inlineStr">
        <is>
          <t>Approved BOQ</t>
        </is>
      </c>
      <c r="I44" s="2" t="inlineStr">
        <is>
          <t>Baseline standard-house quantity</t>
        </is>
      </c>
    </row>
    <row r="45">
      <c r="A45" s="2" t="inlineStr">
        <is>
          <t>50111-SCC-002</t>
        </is>
      </c>
      <c r="B45" s="2" t="inlineStr">
        <is>
          <t>Fixing | 12G - 14 x 20mm, HEX Head, DP</t>
        </is>
      </c>
      <c r="C45" s="3" t="inlineStr">
        <is>
          <t>each</t>
        </is>
      </c>
      <c r="D45" s="4" t="n">
        <v>3500</v>
      </c>
      <c r="E45" s="4" t="n"/>
      <c r="F45" s="2">
        <f>IFERROR(D45*E45,"")</f>
        <v/>
      </c>
      <c r="G45" s="3" t="inlineStr">
        <is>
          <t>High</t>
        </is>
      </c>
      <c r="H45" s="3" t="inlineStr">
        <is>
          <t>Approved BOQ</t>
        </is>
      </c>
      <c r="I45" s="2" t="inlineStr">
        <is>
          <t>Baseline standard-house quantity</t>
        </is>
      </c>
    </row>
    <row r="46">
      <c r="A46" s="2" t="inlineStr">
        <is>
          <t>50111-HEX-001</t>
        </is>
      </c>
      <c r="B46" s="2" t="inlineStr">
        <is>
          <t>Fixing | 12G - 24 x 45mm, HEX Head, DP</t>
        </is>
      </c>
      <c r="C46" s="3" t="inlineStr">
        <is>
          <t>each</t>
        </is>
      </c>
      <c r="D46" s="4" t="n">
        <v>400</v>
      </c>
      <c r="E46" s="4" t="n"/>
      <c r="F46" s="2">
        <f>IFERROR(D46*E46,"")</f>
        <v/>
      </c>
      <c r="G46" s="3" t="inlineStr">
        <is>
          <t>High</t>
        </is>
      </c>
      <c r="H46" s="3" t="inlineStr">
        <is>
          <t>Approved BOQ</t>
        </is>
      </c>
      <c r="I46" s="2" t="inlineStr">
        <is>
          <t>Baseline standard-house quantity</t>
        </is>
      </c>
    </row>
    <row r="47">
      <c r="A47" s="2" t="inlineStr">
        <is>
          <t>50111-SCC-004</t>
        </is>
      </c>
      <c r="B47" s="2" t="inlineStr">
        <is>
          <t>Fixing | 12G - 24 x 38mm, HEX Head, DP</t>
        </is>
      </c>
      <c r="C47" s="3" t="inlineStr">
        <is>
          <t>each</t>
        </is>
      </c>
      <c r="D47" s="4" t="n">
        <v>400</v>
      </c>
      <c r="E47" s="4" t="n"/>
      <c r="F47" s="2">
        <f>IFERROR(D47*E47,"")</f>
        <v/>
      </c>
      <c r="G47" s="3" t="inlineStr">
        <is>
          <t>High</t>
        </is>
      </c>
      <c r="H47" s="3" t="inlineStr">
        <is>
          <t>Approved BOQ</t>
        </is>
      </c>
      <c r="I47" s="2" t="inlineStr">
        <is>
          <t>Baseline standard-house quantity</t>
        </is>
      </c>
    </row>
    <row r="48" ht="18" customHeight="1" s="15">
      <c r="A48" s="2" t="inlineStr">
        <is>
          <t>50111-SCC-005</t>
        </is>
      </c>
      <c r="B48" s="2" t="inlineStr">
        <is>
          <t>Fixing | 10G - 18 x 19mm Flat Head, DP self drilling screw</t>
        </is>
      </c>
      <c r="C48" s="3" t="inlineStr">
        <is>
          <t>each</t>
        </is>
      </c>
      <c r="D48" s="4" t="n">
        <v>5500</v>
      </c>
      <c r="E48" s="4" t="n"/>
      <c r="F48" s="2">
        <f>IFERROR(D48*E48,"")</f>
        <v/>
      </c>
      <c r="G48" s="3" t="inlineStr">
        <is>
          <t>High</t>
        </is>
      </c>
      <c r="H48" s="3" t="inlineStr">
        <is>
          <t>Approved BOQ</t>
        </is>
      </c>
      <c r="I48" s="2" t="inlineStr">
        <is>
          <t>Baseline standard-house quantity</t>
        </is>
      </c>
    </row>
    <row r="49">
      <c r="A49" s="2" t="inlineStr">
        <is>
          <t>50111-SCC-007</t>
        </is>
      </c>
      <c r="B49" s="2" t="inlineStr">
        <is>
          <t>Fixing | 10G - 16 x 16mm Wafer Head, DP self drilling screw</t>
        </is>
      </c>
      <c r="C49" s="3" t="inlineStr">
        <is>
          <t>each</t>
        </is>
      </c>
      <c r="D49" s="4" t="n">
        <v>250</v>
      </c>
      <c r="E49" s="4" t="n"/>
      <c r="F49" s="2">
        <f>IFERROR(D49*E49,"")</f>
        <v/>
      </c>
      <c r="G49" s="3" t="inlineStr">
        <is>
          <t>High</t>
        </is>
      </c>
      <c r="H49" s="3" t="inlineStr">
        <is>
          <t>Approved BOQ</t>
        </is>
      </c>
      <c r="I49" s="2" t="inlineStr">
        <is>
          <t>Baseline standard-house quantity</t>
        </is>
      </c>
    </row>
    <row r="50">
      <c r="A50" s="2" t="inlineStr">
        <is>
          <t>50111-BOL-007</t>
        </is>
      </c>
      <c r="B50" s="2" t="inlineStr">
        <is>
          <t>Fixing | M12 x 75mm Sleeve Anchors, HEX Head, Galvanised</t>
        </is>
      </c>
      <c r="C50" s="3" t="inlineStr">
        <is>
          <t>each</t>
        </is>
      </c>
      <c r="D50" s="4" t="n">
        <v>10</v>
      </c>
      <c r="E50" s="4" t="n"/>
      <c r="F50" s="2">
        <f>IFERROR(D50*E50,"")</f>
        <v/>
      </c>
      <c r="G50" s="3" t="inlineStr">
        <is>
          <t>High</t>
        </is>
      </c>
      <c r="H50" s="3" t="inlineStr">
        <is>
          <t>Approved BOQ</t>
        </is>
      </c>
      <c r="I50" s="2" t="inlineStr">
        <is>
          <t>Baseline standard-house quantity</t>
        </is>
      </c>
    </row>
    <row r="51">
      <c r="A51" s="2" t="inlineStr">
        <is>
          <t>50111-BOL-025</t>
        </is>
      </c>
      <c r="B51" s="2" t="inlineStr">
        <is>
          <t>Fixing | M10 x 25mm HEX Bolt &amp; Nuts, Galvanised</t>
        </is>
      </c>
      <c r="C51" s="3" t="inlineStr">
        <is>
          <t>each</t>
        </is>
      </c>
      <c r="D51" s="4" t="n">
        <v>108</v>
      </c>
      <c r="E51" s="4" t="n"/>
      <c r="F51" s="2">
        <f>IFERROR(D51*E51,"")</f>
        <v/>
      </c>
      <c r="G51" s="3" t="inlineStr">
        <is>
          <t>High</t>
        </is>
      </c>
      <c r="H51" s="3" t="inlineStr">
        <is>
          <t>Approved BOQ</t>
        </is>
      </c>
      <c r="I51" s="2" t="inlineStr">
        <is>
          <t>Baseline standard-house quantity</t>
        </is>
      </c>
    </row>
    <row r="52">
      <c r="A52" s="2" t="inlineStr">
        <is>
          <t>50111-BOL-004</t>
        </is>
      </c>
      <c r="B52" s="2" t="inlineStr">
        <is>
          <t>Fixing | M10 x 3.5 x 2.2mm Spring Washer, Galvanised</t>
        </is>
      </c>
      <c r="C52" s="3" t="inlineStr">
        <is>
          <t>each</t>
        </is>
      </c>
      <c r="D52" s="4" t="n">
        <v>108</v>
      </c>
      <c r="E52" s="4" t="n"/>
      <c r="F52" s="2">
        <f>IFERROR(D52*E52,"")</f>
        <v/>
      </c>
      <c r="G52" s="3" t="inlineStr">
        <is>
          <t>High</t>
        </is>
      </c>
      <c r="H52" s="3" t="inlineStr">
        <is>
          <t>Approved BOQ</t>
        </is>
      </c>
      <c r="I52" s="2" t="inlineStr">
        <is>
          <t>Baseline standard-house quantity</t>
        </is>
      </c>
    </row>
    <row r="53">
      <c r="A53" s="16" t="inlineStr">
        <is>
          <t>50112 - ROOF &amp; ROOF PLUMBING</t>
        </is>
      </c>
      <c r="B53" s="24" t="n"/>
      <c r="C53" s="24" t="n"/>
      <c r="D53" s="24" t="n"/>
      <c r="E53" s="24" t="n"/>
      <c r="F53" s="24" t="n"/>
      <c r="G53" s="24" t="n"/>
      <c r="H53" s="24" t="n"/>
      <c r="I53" s="25" t="n"/>
    </row>
    <row r="54">
      <c r="A54" s="2" t="inlineStr">
        <is>
          <t>50112-RCL-001</t>
        </is>
      </c>
      <c r="B54" s="2" t="inlineStr">
        <is>
          <t>Roof Cladding | Custom Orb 4450mm, 0.42mm BMT, 762mm</t>
        </is>
      </c>
      <c r="C54" s="3" t="inlineStr">
        <is>
          <t>len</t>
        </is>
      </c>
      <c r="D54" s="4" t="n">
        <v>28</v>
      </c>
      <c r="E54" s="4" t="n"/>
      <c r="F54" s="2">
        <f>IFERROR(D54*E54,"")</f>
        <v/>
      </c>
      <c r="G54" s="3" t="inlineStr">
        <is>
          <t>High</t>
        </is>
      </c>
      <c r="H54" s="3" t="inlineStr">
        <is>
          <t>Approved BOQ</t>
        </is>
      </c>
      <c r="I54" s="2" t="inlineStr">
        <is>
          <t>Baseline standard-house quantity</t>
        </is>
      </c>
    </row>
    <row r="55">
      <c r="A55" s="2" t="inlineStr">
        <is>
          <t>50112-RCL-005</t>
        </is>
      </c>
      <c r="B55" s="2" t="inlineStr">
        <is>
          <t>Roof Cladding | Custom Orb 3650mm, 0.42mm BMT, 762mm</t>
        </is>
      </c>
      <c r="C55" s="3" t="inlineStr">
        <is>
          <t>len</t>
        </is>
      </c>
      <c r="D55" s="4" t="n">
        <v>10</v>
      </c>
      <c r="E55" s="4" t="n"/>
      <c r="F55" s="2">
        <f>IFERROR(D55*E55,"")</f>
        <v/>
      </c>
      <c r="G55" s="3" t="inlineStr">
        <is>
          <t>High</t>
        </is>
      </c>
      <c r="H55" s="3" t="inlineStr">
        <is>
          <t>Approved BOQ</t>
        </is>
      </c>
      <c r="I55" s="2" t="inlineStr">
        <is>
          <t>Baseline standard-house quantity</t>
        </is>
      </c>
    </row>
    <row r="56">
      <c r="A56" s="2" t="inlineStr">
        <is>
          <t>50112-RCL-003</t>
        </is>
      </c>
      <c r="B56" s="2" t="inlineStr">
        <is>
          <t>Ridge Cap, 5800mm</t>
        </is>
      </c>
      <c r="C56" s="3" t="inlineStr">
        <is>
          <t>len</t>
        </is>
      </c>
      <c r="D56" s="4" t="n">
        <v>2</v>
      </c>
      <c r="E56" s="4" t="n"/>
      <c r="F56" s="2">
        <f>IFERROR(D56*E56,"")</f>
        <v/>
      </c>
      <c r="G56" s="3" t="inlineStr">
        <is>
          <t>High</t>
        </is>
      </c>
      <c r="H56" s="3" t="inlineStr">
        <is>
          <t>Approved BOQ</t>
        </is>
      </c>
      <c r="I56" s="2" t="inlineStr">
        <is>
          <t>Baseline standard-house quantity</t>
        </is>
      </c>
    </row>
    <row r="57">
      <c r="A57" s="2" t="inlineStr">
        <is>
          <t>50112-RCL-002</t>
        </is>
      </c>
      <c r="B57" s="2" t="inlineStr">
        <is>
          <t>Barge Capping, 5800mm</t>
        </is>
      </c>
      <c r="C57" s="3" t="inlineStr">
        <is>
          <t>len</t>
        </is>
      </c>
      <c r="D57" s="4" t="n">
        <v>5</v>
      </c>
      <c r="E57" s="4" t="n"/>
      <c r="F57" s="2">
        <f>IFERROR(D57*E57,"")</f>
        <v/>
      </c>
      <c r="G57" s="3" t="inlineStr">
        <is>
          <t>High</t>
        </is>
      </c>
      <c r="H57" s="3" t="inlineStr">
        <is>
          <t>Approved BOQ</t>
        </is>
      </c>
      <c r="I57" s="2" t="inlineStr">
        <is>
          <t>Baseline standard-house quantity</t>
        </is>
      </c>
    </row>
    <row r="58">
      <c r="A58" s="2" t="inlineStr">
        <is>
          <t>50112-FSH-001</t>
        </is>
      </c>
      <c r="B58" s="2" t="inlineStr">
        <is>
          <t>Apron Flashing, 3800mm</t>
        </is>
      </c>
      <c r="C58" s="3" t="inlineStr">
        <is>
          <t>len</t>
        </is>
      </c>
      <c r="D58" s="4" t="n">
        <v>2</v>
      </c>
      <c r="E58" s="4" t="n"/>
      <c r="F58" s="2">
        <f>IFERROR(D58*E58,"")</f>
        <v/>
      </c>
      <c r="G58" s="3" t="inlineStr">
        <is>
          <t>High</t>
        </is>
      </c>
      <c r="H58" s="3" t="inlineStr">
        <is>
          <t>Approved BOQ</t>
        </is>
      </c>
      <c r="I58" s="2" t="inlineStr">
        <is>
          <t>Baseline standard-house quantity</t>
        </is>
      </c>
    </row>
    <row r="59">
      <c r="A59" s="2" t="inlineStr">
        <is>
          <t>50112-RCL-004</t>
        </is>
      </c>
      <c r="B59" s="2" t="inlineStr">
        <is>
          <t>Fascia, 5800mm</t>
        </is>
      </c>
      <c r="C59" s="3" t="inlineStr">
        <is>
          <t>len</t>
        </is>
      </c>
      <c r="D59" s="4" t="n">
        <v>10</v>
      </c>
      <c r="E59" s="4" t="n"/>
      <c r="F59" s="2">
        <f>IFERROR(D59*E59,"")</f>
        <v/>
      </c>
      <c r="G59" s="3" t="inlineStr">
        <is>
          <t>High</t>
        </is>
      </c>
      <c r="H59" s="3" t="inlineStr">
        <is>
          <t>Approved BOQ</t>
        </is>
      </c>
      <c r="I59" s="2" t="inlineStr">
        <is>
          <t>Baseline standard-house quantity</t>
        </is>
      </c>
    </row>
    <row r="60">
      <c r="A60" s="2" t="inlineStr">
        <is>
          <t>50112-RCL-016</t>
        </is>
      </c>
      <c r="B60" s="2" t="inlineStr">
        <is>
          <t>Fascia Clips</t>
        </is>
      </c>
      <c r="C60" s="3" t="inlineStr">
        <is>
          <t>each</t>
        </is>
      </c>
      <c r="D60" s="4" t="n">
        <v>80</v>
      </c>
      <c r="E60" s="4" t="n"/>
      <c r="F60" s="2">
        <f>IFERROR(D60*E60,"")</f>
        <v/>
      </c>
      <c r="G60" s="3" t="inlineStr">
        <is>
          <t>High</t>
        </is>
      </c>
      <c r="H60" s="3" t="inlineStr">
        <is>
          <t>Approved BOQ</t>
        </is>
      </c>
      <c r="I60" s="2" t="inlineStr">
        <is>
          <t>Baseline standard-house quantity</t>
        </is>
      </c>
    </row>
    <row r="61" ht="18" customHeight="1" s="15">
      <c r="A61" s="2" t="inlineStr">
        <is>
          <t>50112-PVG-001</t>
        </is>
      </c>
      <c r="B61" s="2" t="inlineStr">
        <is>
          <t>SL-01 | PVC Rain Gutter &amp; Downspout, 5800mm</t>
        </is>
      </c>
      <c r="C61" s="3" t="inlineStr">
        <is>
          <t>len</t>
        </is>
      </c>
      <c r="D61" s="4" t="n">
        <v>5</v>
      </c>
      <c r="E61" s="4" t="n"/>
      <c r="F61" s="2">
        <f>IFERROR(D61*E61,"")</f>
        <v/>
      </c>
      <c r="G61" s="3" t="inlineStr">
        <is>
          <t>High</t>
        </is>
      </c>
      <c r="H61" s="3" t="inlineStr">
        <is>
          <t>Approved BOQ</t>
        </is>
      </c>
      <c r="I61" s="2" t="inlineStr">
        <is>
          <t>Baseline standard-house quantity</t>
        </is>
      </c>
    </row>
    <row r="62">
      <c r="A62" s="2" t="inlineStr">
        <is>
          <t>50112-PVG-002</t>
        </is>
      </c>
      <c r="B62" s="2" t="inlineStr">
        <is>
          <t>SL-02 | PVC Endcap L/H</t>
        </is>
      </c>
      <c r="C62" s="3" t="inlineStr">
        <is>
          <t>each</t>
        </is>
      </c>
      <c r="D62" s="4" t="n">
        <v>3</v>
      </c>
      <c r="E62" s="4" t="n"/>
      <c r="F62" s="2">
        <f>IFERROR(D62*E62,"")</f>
        <v/>
      </c>
      <c r="G62" s="3" t="inlineStr">
        <is>
          <t>High</t>
        </is>
      </c>
      <c r="H62" s="3" t="inlineStr">
        <is>
          <t>Approved BOQ</t>
        </is>
      </c>
      <c r="I62" s="2" t="inlineStr">
        <is>
          <t>Baseline standard-house quantity</t>
        </is>
      </c>
    </row>
    <row r="63">
      <c r="A63" s="2" t="inlineStr">
        <is>
          <t>50112-PVG-003</t>
        </is>
      </c>
      <c r="B63" s="2" t="inlineStr">
        <is>
          <t>SL-02 | PVC Endcap R/H</t>
        </is>
      </c>
      <c r="C63" s="3" t="inlineStr">
        <is>
          <t>each</t>
        </is>
      </c>
      <c r="D63" s="4" t="n">
        <v>3</v>
      </c>
      <c r="E63" s="4" t="n"/>
      <c r="F63" s="2">
        <f>IFERROR(D63*E63,"")</f>
        <v/>
      </c>
      <c r="G63" s="3" t="inlineStr">
        <is>
          <t>High</t>
        </is>
      </c>
      <c r="H63" s="3" t="inlineStr">
        <is>
          <t>Approved BOQ</t>
        </is>
      </c>
      <c r="I63" s="2" t="inlineStr">
        <is>
          <t>Baseline standard-house quantity</t>
        </is>
      </c>
    </row>
    <row r="64">
      <c r="A64" s="2" t="inlineStr">
        <is>
          <t>50112-PVG-004</t>
        </is>
      </c>
      <c r="B64" s="2" t="inlineStr">
        <is>
          <t>SL-03 | PVC Gutter Joiner</t>
        </is>
      </c>
      <c r="C64" s="3" t="inlineStr">
        <is>
          <t>each</t>
        </is>
      </c>
      <c r="D64" s="4" t="n">
        <v>3</v>
      </c>
      <c r="E64" s="4" t="n"/>
      <c r="F64" s="2">
        <f>IFERROR(D64*E64,"")</f>
        <v/>
      </c>
      <c r="G64" s="3" t="inlineStr">
        <is>
          <t>High</t>
        </is>
      </c>
      <c r="H64" s="3" t="inlineStr">
        <is>
          <t>Approved BOQ</t>
        </is>
      </c>
      <c r="I64" s="2" t="inlineStr">
        <is>
          <t>Baseline standard-house quantity</t>
        </is>
      </c>
    </row>
    <row r="65">
      <c r="A65" s="2" t="inlineStr">
        <is>
          <t>50112-PVG-005</t>
        </is>
      </c>
      <c r="B65" s="2" t="inlineStr">
        <is>
          <t>SL-08 | PVC Drop Outlet</t>
        </is>
      </c>
      <c r="C65" s="3" t="inlineStr">
        <is>
          <t>each</t>
        </is>
      </c>
      <c r="D65" s="4" t="n">
        <v>5</v>
      </c>
      <c r="E65" s="4" t="n"/>
      <c r="F65" s="2">
        <f>IFERROR(D65*E65,"")</f>
        <v/>
      </c>
      <c r="G65" s="3" t="inlineStr">
        <is>
          <t>High</t>
        </is>
      </c>
      <c r="H65" s="3" t="inlineStr">
        <is>
          <t>Approved BOQ</t>
        </is>
      </c>
      <c r="I65" s="2" t="inlineStr">
        <is>
          <t>Baseline standard-house quantity</t>
        </is>
      </c>
    </row>
    <row r="66">
      <c r="A66" s="2" t="inlineStr">
        <is>
          <t>50112-PVG-006</t>
        </is>
      </c>
      <c r="B66" s="2" t="inlineStr">
        <is>
          <t>SL-09 | PVC Downspout</t>
        </is>
      </c>
      <c r="C66" s="3" t="inlineStr">
        <is>
          <t>each</t>
        </is>
      </c>
      <c r="D66" s="4" t="n">
        <v>5</v>
      </c>
      <c r="E66" s="4" t="n"/>
      <c r="F66" s="2">
        <f>IFERROR(D66*E66,"")</f>
        <v/>
      </c>
      <c r="G66" s="3" t="inlineStr">
        <is>
          <t>High</t>
        </is>
      </c>
      <c r="H66" s="3" t="inlineStr">
        <is>
          <t>Approved BOQ</t>
        </is>
      </c>
      <c r="I66" s="2" t="inlineStr">
        <is>
          <t>Baseline standard-house quantity</t>
        </is>
      </c>
    </row>
    <row r="67" ht="18" customHeight="1" s="15">
      <c r="A67" s="2" t="inlineStr">
        <is>
          <t>50112-PVG-007</t>
        </is>
      </c>
      <c r="B67" s="2" t="inlineStr">
        <is>
          <t>SL-10 | PVC Downspout Connector</t>
        </is>
      </c>
      <c r="C67" s="3" t="inlineStr">
        <is>
          <t>each</t>
        </is>
      </c>
      <c r="D67" s="4" t="n">
        <v>5</v>
      </c>
      <c r="E67" s="4" t="n"/>
      <c r="F67" s="2">
        <f>IFERROR(D67*E67,"")</f>
        <v/>
      </c>
      <c r="G67" s="3" t="inlineStr">
        <is>
          <t>High</t>
        </is>
      </c>
      <c r="H67" s="3" t="inlineStr">
        <is>
          <t>Approved BOQ</t>
        </is>
      </c>
      <c r="I67" s="2" t="inlineStr">
        <is>
          <t>Baseline standard-house quantity</t>
        </is>
      </c>
    </row>
    <row r="68">
      <c r="A68" s="2" t="inlineStr">
        <is>
          <t>50112-PVG-008</t>
        </is>
      </c>
      <c r="B68" s="2" t="inlineStr">
        <is>
          <t>SL-12A | PVC 65degree Elbow</t>
        </is>
      </c>
      <c r="C68" s="3" t="inlineStr">
        <is>
          <t>each</t>
        </is>
      </c>
      <c r="D68" s="4" t="n">
        <v>5</v>
      </c>
      <c r="E68" s="4" t="n"/>
      <c r="F68" s="2">
        <f>IFERROR(D68*E68,"")</f>
        <v/>
      </c>
      <c r="G68" s="3" t="inlineStr">
        <is>
          <t>High</t>
        </is>
      </c>
      <c r="H68" s="3" t="inlineStr">
        <is>
          <t>Approved BOQ</t>
        </is>
      </c>
      <c r="I68" s="2" t="inlineStr">
        <is>
          <t>Baseline standard-house quantity</t>
        </is>
      </c>
    </row>
    <row r="69">
      <c r="A69" s="2" t="inlineStr">
        <is>
          <t>50112-PVG-009</t>
        </is>
      </c>
      <c r="B69" s="2" t="inlineStr">
        <is>
          <t>SL-12B | PVC 90degree Elbow</t>
        </is>
      </c>
      <c r="C69" s="3" t="inlineStr">
        <is>
          <t>each</t>
        </is>
      </c>
      <c r="D69" s="4" t="n">
        <v>10</v>
      </c>
      <c r="E69" s="4" t="n"/>
      <c r="F69" s="2">
        <f>IFERROR(D69*E69,"")</f>
        <v/>
      </c>
      <c r="G69" s="3" t="inlineStr">
        <is>
          <t>High</t>
        </is>
      </c>
      <c r="H69" s="3" t="inlineStr">
        <is>
          <t>Approved BOQ</t>
        </is>
      </c>
      <c r="I69" s="2" t="inlineStr">
        <is>
          <t>Baseline standard-house quantity</t>
        </is>
      </c>
    </row>
    <row r="70">
      <c r="A70" s="2" t="inlineStr">
        <is>
          <t>50112-PVG-010</t>
        </is>
      </c>
      <c r="B70" s="2" t="inlineStr">
        <is>
          <t>SL-13 | PVC Downspout "U" Clip</t>
        </is>
      </c>
      <c r="C70" s="3" t="inlineStr">
        <is>
          <t>each</t>
        </is>
      </c>
      <c r="D70" s="4" t="n">
        <v>25</v>
      </c>
      <c r="E70" s="4" t="n"/>
      <c r="F70" s="2">
        <f>IFERROR(D70*E70,"")</f>
        <v/>
      </c>
      <c r="G70" s="3" t="inlineStr">
        <is>
          <t>High</t>
        </is>
      </c>
      <c r="H70" s="3" t="inlineStr">
        <is>
          <t>Approved BOQ</t>
        </is>
      </c>
      <c r="I70" s="2" t="inlineStr">
        <is>
          <t>Baseline standard-house quantity</t>
        </is>
      </c>
    </row>
    <row r="71">
      <c r="A71" s="2" t="inlineStr">
        <is>
          <t>50112-PVG-011</t>
        </is>
      </c>
      <c r="B71" s="2" t="inlineStr">
        <is>
          <t>SL-14 | PVC Gutter "A" Hanger</t>
        </is>
      </c>
      <c r="C71" s="3" t="inlineStr">
        <is>
          <t>each</t>
        </is>
      </c>
      <c r="D71" s="4" t="n">
        <v>33</v>
      </c>
      <c r="E71" s="4" t="n"/>
      <c r="F71" s="2">
        <f>IFERROR(D71*E71,"")</f>
        <v/>
      </c>
      <c r="G71" s="3" t="inlineStr">
        <is>
          <t>High</t>
        </is>
      </c>
      <c r="H71" s="3" t="inlineStr">
        <is>
          <t>Approved BOQ</t>
        </is>
      </c>
      <c r="I71" s="2" t="inlineStr">
        <is>
          <t>Baseline standard-house quantity</t>
        </is>
      </c>
    </row>
    <row r="72">
      <c r="A72" s="2" t="inlineStr">
        <is>
          <t>50112-PVG-012</t>
        </is>
      </c>
      <c r="B72" s="2" t="inlineStr">
        <is>
          <t>SL-14 | PVC Gutter "U" Hanger</t>
        </is>
      </c>
      <c r="C72" s="3" t="inlineStr">
        <is>
          <t>each</t>
        </is>
      </c>
      <c r="D72" s="4" t="n">
        <v>33</v>
      </c>
      <c r="E72" s="4" t="n"/>
      <c r="F72" s="2">
        <f>IFERROR(D72*E72,"")</f>
        <v/>
      </c>
      <c r="G72" s="3" t="inlineStr">
        <is>
          <t>High</t>
        </is>
      </c>
      <c r="H72" s="3" t="inlineStr">
        <is>
          <t>Approved BOQ</t>
        </is>
      </c>
      <c r="I72" s="2" t="inlineStr">
        <is>
          <t>Baseline standard-house quantity</t>
        </is>
      </c>
    </row>
    <row r="73">
      <c r="A73" s="2" t="inlineStr">
        <is>
          <t>50112-PVG-013</t>
        </is>
      </c>
      <c r="B73" s="2" t="inlineStr">
        <is>
          <t>SL-22 | Special Glue</t>
        </is>
      </c>
      <c r="C73" s="3" t="inlineStr">
        <is>
          <t>each</t>
        </is>
      </c>
      <c r="D73" s="4" t="n">
        <v>4</v>
      </c>
      <c r="E73" s="4" t="n"/>
      <c r="F73" s="2">
        <f>IFERROR(D73*E73,"")</f>
        <v/>
      </c>
      <c r="G73" s="3" t="inlineStr">
        <is>
          <t>High</t>
        </is>
      </c>
      <c r="H73" s="3" t="inlineStr">
        <is>
          <t>Approved BOQ</t>
        </is>
      </c>
      <c r="I73" s="2" t="inlineStr">
        <is>
          <t>Baseline standard-house quantity</t>
        </is>
      </c>
    </row>
    <row r="74">
      <c r="A74" s="2" t="inlineStr">
        <is>
          <t>50112-RAC-001</t>
        </is>
      </c>
      <c r="B74" s="2" t="inlineStr">
        <is>
          <t>Bird Proofing Foam | Bird Proofing Foam</t>
        </is>
      </c>
      <c r="C74" s="3" t="inlineStr">
        <is>
          <t>m</t>
        </is>
      </c>
      <c r="D74" s="4" t="n">
        <v>56</v>
      </c>
      <c r="E74" s="4" t="n"/>
      <c r="F74" s="2">
        <f>IFERROR(D74*E74,"")</f>
        <v/>
      </c>
      <c r="G74" s="3" t="inlineStr">
        <is>
          <t>High</t>
        </is>
      </c>
      <c r="H74" s="3" t="inlineStr">
        <is>
          <t>Approved BOQ</t>
        </is>
      </c>
      <c r="I74" s="2" t="inlineStr">
        <is>
          <t>Baseline standard-house quantity</t>
        </is>
      </c>
    </row>
    <row r="75">
      <c r="A75" s="2" t="inlineStr">
        <is>
          <t>50111-SCC-001</t>
        </is>
      </c>
      <c r="B75" s="2" t="inlineStr">
        <is>
          <t>Fixing | 12G - 14 x 50mm HEX Head with C4 Rubber Washer</t>
        </is>
      </c>
      <c r="C75" s="3" t="inlineStr">
        <is>
          <t>each</t>
        </is>
      </c>
      <c r="D75" s="4" t="n">
        <v>1100</v>
      </c>
      <c r="E75" s="4" t="n"/>
      <c r="F75" s="2">
        <f>IFERROR(D75*E75,"")</f>
        <v/>
      </c>
      <c r="G75" s="3" t="inlineStr">
        <is>
          <t>High</t>
        </is>
      </c>
      <c r="H75" s="3" t="inlineStr">
        <is>
          <t>Approved BOQ</t>
        </is>
      </c>
      <c r="I75" s="2" t="inlineStr">
        <is>
          <t>Baseline standard-house quantity</t>
        </is>
      </c>
    </row>
    <row r="76">
      <c r="A76" s="2" t="inlineStr">
        <is>
          <t>50111-SCC-002</t>
        </is>
      </c>
      <c r="B76" s="2" t="inlineStr">
        <is>
          <t>Fixing | 12G - 14 x 20mm HEX Head, DP</t>
        </is>
      </c>
      <c r="C76" s="3" t="inlineStr">
        <is>
          <t>each</t>
        </is>
      </c>
      <c r="D76" s="4" t="n">
        <v>600</v>
      </c>
      <c r="E76" s="4" t="n"/>
      <c r="F76" s="2">
        <f>IFERROR(D76*E76,"")</f>
        <v/>
      </c>
      <c r="G76" s="3" t="inlineStr">
        <is>
          <t>High</t>
        </is>
      </c>
      <c r="H76" s="3" t="inlineStr">
        <is>
          <t>Approved BOQ</t>
        </is>
      </c>
      <c r="I76" s="2" t="inlineStr">
        <is>
          <t>Baseline standard-house quantity</t>
        </is>
      </c>
    </row>
    <row r="77">
      <c r="A77" s="2" t="inlineStr">
        <is>
          <t>50111-SCC-011</t>
        </is>
      </c>
      <c r="B77" s="2" t="inlineStr">
        <is>
          <t>Fixing | Blind Rivets Aluminum, 1/8" x 3/8"</t>
        </is>
      </c>
      <c r="C77" s="3" t="inlineStr">
        <is>
          <t>each</t>
        </is>
      </c>
      <c r="D77" s="4" t="n">
        <v>500</v>
      </c>
      <c r="E77" s="4" t="n"/>
      <c r="F77" s="2">
        <f>IFERROR(D77*E77,"")</f>
        <v/>
      </c>
      <c r="G77" s="3" t="inlineStr">
        <is>
          <t>High</t>
        </is>
      </c>
      <c r="H77" s="3" t="inlineStr">
        <is>
          <t>Approved BOQ</t>
        </is>
      </c>
      <c r="I77" s="2" t="inlineStr">
        <is>
          <t>Baseline standard-house quantity</t>
        </is>
      </c>
    </row>
    <row r="78">
      <c r="A78" s="16" t="inlineStr">
        <is>
          <t>50113 - EXTERNAL CLADDING</t>
        </is>
      </c>
      <c r="B78" s="24" t="n"/>
      <c r="C78" s="24" t="n"/>
      <c r="D78" s="24" t="n"/>
      <c r="E78" s="24" t="n"/>
      <c r="F78" s="24" t="n"/>
      <c r="G78" s="24" t="n"/>
      <c r="H78" s="24" t="n"/>
      <c r="I78" s="25" t="n"/>
    </row>
    <row r="79">
      <c r="A79" s="2" t="inlineStr">
        <is>
          <t>50113-WBC-001</t>
        </is>
      </c>
      <c r="B79" s="2" t="inlineStr">
        <is>
          <t>External Cladding | Weather Board 7.5mm FC 230 x 4200mm</t>
        </is>
      </c>
      <c r="C79" s="3" t="inlineStr">
        <is>
          <t>len</t>
        </is>
      </c>
      <c r="D79" s="4" t="n">
        <v>132</v>
      </c>
      <c r="E79" s="4" t="n"/>
      <c r="F79" s="2">
        <f>IFERROR(D79*E79,"")</f>
        <v/>
      </c>
      <c r="G79" s="3" t="inlineStr">
        <is>
          <t>High</t>
        </is>
      </c>
      <c r="H79" s="3" t="inlineStr">
        <is>
          <t>Approved BOQ</t>
        </is>
      </c>
      <c r="I79" s="2" t="inlineStr">
        <is>
          <t>Baseline standard-house quantity</t>
        </is>
      </c>
    </row>
    <row r="80">
      <c r="A80" s="2" t="inlineStr">
        <is>
          <t>50106-TIC-001</t>
        </is>
      </c>
      <c r="B80" s="2" t="inlineStr">
        <is>
          <t>Timber Cornice | 25 x 25 x 2400mm Quad Cornice</t>
        </is>
      </c>
      <c r="C80" s="3" t="inlineStr">
        <is>
          <t>len</t>
        </is>
      </c>
      <c r="D80" s="4" t="n">
        <v>10</v>
      </c>
      <c r="E80" s="4" t="n"/>
      <c r="F80" s="2">
        <f>IFERROR(D80*E80,"")</f>
        <v/>
      </c>
      <c r="G80" s="3" t="inlineStr">
        <is>
          <t>High</t>
        </is>
      </c>
      <c r="H80" s="3" t="inlineStr">
        <is>
          <t>Approved BOQ</t>
        </is>
      </c>
      <c r="I80" s="2" t="inlineStr">
        <is>
          <t>Baseline standard-house quantity</t>
        </is>
      </c>
    </row>
    <row r="81">
      <c r="A81" s="2" t="inlineStr"/>
      <c r="B81" s="2" t="inlineStr">
        <is>
          <t>Soffit Flashing, 5800mm</t>
        </is>
      </c>
      <c r="C81" s="3" t="inlineStr">
        <is>
          <t>len</t>
        </is>
      </c>
      <c r="D81" s="4" t="n">
        <v>7</v>
      </c>
      <c r="E81" s="4" t="n"/>
      <c r="F81" s="2">
        <f>IFERROR(D81*E81,"")</f>
        <v/>
      </c>
      <c r="G81" s="3" t="inlineStr">
        <is>
          <t>High</t>
        </is>
      </c>
      <c r="H81" s="3" t="inlineStr">
        <is>
          <t>Approved BOQ</t>
        </is>
      </c>
      <c r="I81" s="2" t="inlineStr">
        <is>
          <t>Baseline standard-house quantity</t>
        </is>
      </c>
    </row>
    <row r="82">
      <c r="A82" s="2" t="inlineStr">
        <is>
          <t>50115-HMJ-002</t>
        </is>
      </c>
      <c r="B82" s="2" t="inlineStr">
        <is>
          <t>7.5mm x 230mm PVC External H Joiner</t>
        </is>
      </c>
      <c r="C82" s="3" t="inlineStr">
        <is>
          <t>len</t>
        </is>
      </c>
      <c r="D82" s="4" t="n">
        <v>132</v>
      </c>
      <c r="E82" s="4" t="n"/>
      <c r="F82" s="2">
        <f>IFERROR(D82*E82,"")</f>
        <v/>
      </c>
      <c r="G82" s="3" t="inlineStr">
        <is>
          <t>High</t>
        </is>
      </c>
      <c r="H82" s="3" t="inlineStr">
        <is>
          <t>Approved BOQ</t>
        </is>
      </c>
      <c r="I82" s="2" t="inlineStr">
        <is>
          <t>Baseline standard-house quantity</t>
        </is>
      </c>
    </row>
    <row r="83">
      <c r="A83" s="2" t="inlineStr">
        <is>
          <t>50115-WCC-001</t>
        </is>
      </c>
      <c r="B83" s="2" t="inlineStr">
        <is>
          <t>Aluminum Weatherboard Corner Flashing, 230mm</t>
        </is>
      </c>
      <c r="C83" s="3" t="inlineStr">
        <is>
          <t>len</t>
        </is>
      </c>
      <c r="D83" s="4" t="n">
        <v>72</v>
      </c>
      <c r="E83" s="4" t="n"/>
      <c r="F83" s="2">
        <f>IFERROR(D83*E83,"")</f>
        <v/>
      </c>
      <c r="G83" s="3" t="inlineStr">
        <is>
          <t>High</t>
        </is>
      </c>
      <c r="H83" s="3" t="inlineStr">
        <is>
          <t>Approved BOQ</t>
        </is>
      </c>
      <c r="I83" s="2" t="inlineStr">
        <is>
          <t>Baseline standard-house quantity</t>
        </is>
      </c>
    </row>
    <row r="84">
      <c r="A84" s="2" t="inlineStr">
        <is>
          <t>50113-WBC-002</t>
        </is>
      </c>
      <c r="B84" s="2" t="inlineStr">
        <is>
          <t>Fixing | Stud Clips</t>
        </is>
      </c>
      <c r="C84" s="3" t="inlineStr">
        <is>
          <t>each</t>
        </is>
      </c>
      <c r="D84" s="4" t="n">
        <v>1200</v>
      </c>
      <c r="E84" s="4" t="n"/>
      <c r="F84" s="2">
        <f>IFERROR(D84*E84,"")</f>
        <v/>
      </c>
      <c r="G84" s="3" t="inlineStr">
        <is>
          <t>High</t>
        </is>
      </c>
      <c r="H84" s="3" t="inlineStr">
        <is>
          <t>Approved BOQ</t>
        </is>
      </c>
      <c r="I84" s="2" t="inlineStr">
        <is>
          <t>Baseline standard-house quantity</t>
        </is>
      </c>
    </row>
    <row r="85" ht="18" customHeight="1" s="15">
      <c r="A85" s="2" t="inlineStr">
        <is>
          <t>50111-SCC-017</t>
        </is>
      </c>
      <c r="B85" s="2" t="inlineStr">
        <is>
          <t>Fixing | 12G - 14 x 20mm Countersunk, DP self drilling screw</t>
        </is>
      </c>
      <c r="C85" s="3" t="inlineStr">
        <is>
          <t>each</t>
        </is>
      </c>
      <c r="D85" s="4" t="n">
        <v>1200</v>
      </c>
      <c r="E85" s="4" t="n"/>
      <c r="F85" s="2">
        <f>IFERROR(D85*E85,"")</f>
        <v/>
      </c>
      <c r="G85" s="3" t="inlineStr">
        <is>
          <t>High</t>
        </is>
      </c>
      <c r="H85" s="3" t="inlineStr">
        <is>
          <t>Approved BOQ</t>
        </is>
      </c>
      <c r="I85" s="2" t="inlineStr">
        <is>
          <t>Baseline standard-house quantity</t>
        </is>
      </c>
    </row>
    <row r="86">
      <c r="A86" s="2" t="inlineStr">
        <is>
          <t>50111-SCC-006</t>
        </is>
      </c>
      <c r="B86" s="2" t="inlineStr">
        <is>
          <t>Fixing | 10G - 16 x 25mm HEX Head, DP, Neo C3 Washer Rubber</t>
        </is>
      </c>
      <c r="C86" s="3" t="inlineStr">
        <is>
          <t>each</t>
        </is>
      </c>
      <c r="D86" s="4" t="n">
        <v>200</v>
      </c>
      <c r="E86" s="4" t="n"/>
      <c r="F86" s="2">
        <f>IFERROR(D86*E86,"")</f>
        <v/>
      </c>
      <c r="G86" s="3" t="inlineStr">
        <is>
          <t>High</t>
        </is>
      </c>
      <c r="H86" s="3" t="inlineStr">
        <is>
          <t>Approved BOQ</t>
        </is>
      </c>
      <c r="I86" s="2" t="inlineStr">
        <is>
          <t>Baseline standard-house quantity</t>
        </is>
      </c>
    </row>
    <row r="87">
      <c r="A87" s="16" t="inlineStr">
        <is>
          <t>50114 - DOORS, WINDOWS &amp; GLAZINGS</t>
        </is>
      </c>
      <c r="B87" s="24" t="n"/>
      <c r="C87" s="24" t="n"/>
      <c r="D87" s="24" t="n"/>
      <c r="E87" s="24" t="n"/>
      <c r="F87" s="24" t="n"/>
      <c r="G87" s="24" t="n"/>
      <c r="H87" s="24" t="n"/>
      <c r="I87" s="25" t="n"/>
    </row>
    <row r="88">
      <c r="A88" s="2" t="inlineStr">
        <is>
          <t>50114-DSC-003</t>
        </is>
      </c>
      <c r="B88" s="2" t="inlineStr">
        <is>
          <t>Door | 2040 x 920 x 35mm, SOLID CORE</t>
        </is>
      </c>
      <c r="C88" s="3" t="inlineStr">
        <is>
          <t>each</t>
        </is>
      </c>
      <c r="D88" s="4" t="n">
        <v>1</v>
      </c>
      <c r="E88" s="4" t="n"/>
      <c r="F88" s="2">
        <f>IFERROR(D88*E88,"")</f>
        <v/>
      </c>
      <c r="G88" s="3" t="inlineStr">
        <is>
          <t>High</t>
        </is>
      </c>
      <c r="H88" s="3" t="inlineStr">
        <is>
          <t>Approved BOQ</t>
        </is>
      </c>
      <c r="I88" s="2" t="inlineStr">
        <is>
          <t>Baseline standard-house quantity</t>
        </is>
      </c>
    </row>
    <row r="89">
      <c r="A89" s="2" t="inlineStr">
        <is>
          <t>50114-DHC-003</t>
        </is>
      </c>
      <c r="B89" s="2" t="inlineStr">
        <is>
          <t>Door | 2040 x 820 x 35mm, HOLLOW CORE</t>
        </is>
      </c>
      <c r="C89" s="3" t="inlineStr">
        <is>
          <t>each</t>
        </is>
      </c>
      <c r="D89" s="4" t="n">
        <v>3</v>
      </c>
      <c r="E89" s="4" t="n"/>
      <c r="F89" s="2">
        <f>IFERROR(D89*E89,"")</f>
        <v/>
      </c>
      <c r="G89" s="3" t="inlineStr">
        <is>
          <t>High</t>
        </is>
      </c>
      <c r="H89" s="3" t="inlineStr">
        <is>
          <t>Approved BOQ</t>
        </is>
      </c>
      <c r="I89" s="2" t="inlineStr">
        <is>
          <t>Baseline standard-house quantity</t>
        </is>
      </c>
    </row>
    <row r="90">
      <c r="A90" s="2" t="inlineStr">
        <is>
          <t>50114-DHC-007</t>
        </is>
      </c>
      <c r="B90" s="2" t="inlineStr">
        <is>
          <t>Door |  2040 x 720 x 35mm, HOLLOW CORE</t>
        </is>
      </c>
      <c r="C90" s="3" t="inlineStr">
        <is>
          <t>each</t>
        </is>
      </c>
      <c r="D90" s="4" t="n">
        <v>1</v>
      </c>
      <c r="E90" s="4" t="n"/>
      <c r="F90" s="2">
        <f>IFERROR(D90*E90,"")</f>
        <v/>
      </c>
      <c r="G90" s="3" t="inlineStr">
        <is>
          <t>High</t>
        </is>
      </c>
      <c r="H90" s="3" t="inlineStr">
        <is>
          <t>Approved BOQ</t>
        </is>
      </c>
      <c r="I90" s="2" t="inlineStr">
        <is>
          <t>Baseline standard-house quantity</t>
        </is>
      </c>
    </row>
    <row r="91">
      <c r="A91" s="2" t="inlineStr">
        <is>
          <t>50114-DJA-003</t>
        </is>
      </c>
      <c r="B91" s="2" t="inlineStr">
        <is>
          <t>Door Frame | Timber Door Frames 2100mmH x 1000mmW</t>
        </is>
      </c>
      <c r="C91" s="3" t="inlineStr">
        <is>
          <t>each</t>
        </is>
      </c>
      <c r="D91" s="4" t="n">
        <v>1</v>
      </c>
      <c r="E91" s="4" t="n"/>
      <c r="F91" s="2">
        <f>IFERROR(D91*E91,"")</f>
        <v/>
      </c>
      <c r="G91" s="3" t="inlineStr">
        <is>
          <t>High</t>
        </is>
      </c>
      <c r="H91" s="3" t="inlineStr">
        <is>
          <t>Approved BOQ</t>
        </is>
      </c>
      <c r="I91" s="2" t="inlineStr">
        <is>
          <t>Baseline standard-house quantity</t>
        </is>
      </c>
    </row>
    <row r="92">
      <c r="A92" s="2" t="inlineStr">
        <is>
          <t>50114-DJA-006</t>
        </is>
      </c>
      <c r="B92" s="2" t="inlineStr">
        <is>
          <t>Door Frame |Timber Door Frames 2100mmH x 900mmW</t>
        </is>
      </c>
      <c r="C92" s="3" t="inlineStr">
        <is>
          <t>each</t>
        </is>
      </c>
      <c r="D92" s="4" t="n">
        <v>3</v>
      </c>
      <c r="E92" s="4" t="n"/>
      <c r="F92" s="2">
        <f>IFERROR(D92*E92,"")</f>
        <v/>
      </c>
      <c r="G92" s="3" t="inlineStr">
        <is>
          <t>High</t>
        </is>
      </c>
      <c r="H92" s="3" t="inlineStr">
        <is>
          <t>Approved BOQ</t>
        </is>
      </c>
      <c r="I92" s="2" t="inlineStr">
        <is>
          <t>Baseline standard-house quantity</t>
        </is>
      </c>
    </row>
    <row r="93">
      <c r="A93" s="2" t="inlineStr">
        <is>
          <t>50114-DJA-007</t>
        </is>
      </c>
      <c r="B93" s="2" t="inlineStr">
        <is>
          <t>Door Frame | Timber Door Frames 2100mmH x 800mmW</t>
        </is>
      </c>
      <c r="C93" s="3" t="inlineStr">
        <is>
          <t>each</t>
        </is>
      </c>
      <c r="D93" s="4" t="n">
        <v>1</v>
      </c>
      <c r="E93" s="4" t="n"/>
      <c r="F93" s="2">
        <f>IFERROR(D93*E93,"")</f>
        <v/>
      </c>
      <c r="G93" s="3" t="inlineStr">
        <is>
          <t>High</t>
        </is>
      </c>
      <c r="H93" s="3" t="inlineStr">
        <is>
          <t>Approved BOQ</t>
        </is>
      </c>
      <c r="I93" s="2" t="inlineStr">
        <is>
          <t>Baseline standard-house quantity</t>
        </is>
      </c>
    </row>
    <row r="94">
      <c r="A94" s="2" t="inlineStr">
        <is>
          <t>50114-HIN-001</t>
        </is>
      </c>
      <c r="B94" s="2" t="inlineStr">
        <is>
          <t>Hinges | Hinge; Fixed Pin 100 x 75 x 2.5mm</t>
        </is>
      </c>
      <c r="C94" s="3" t="inlineStr">
        <is>
          <t>each</t>
        </is>
      </c>
      <c r="D94" s="4" t="n">
        <v>13</v>
      </c>
      <c r="E94" s="4" t="n"/>
      <c r="F94" s="2">
        <f>IFERROR(D94*E94,"")</f>
        <v/>
      </c>
      <c r="G94" s="3" t="inlineStr">
        <is>
          <t>High</t>
        </is>
      </c>
      <c r="H94" s="3" t="inlineStr">
        <is>
          <t>Approved BOQ</t>
        </is>
      </c>
      <c r="I94" s="2" t="inlineStr">
        <is>
          <t>Baseline standard-house quantity</t>
        </is>
      </c>
    </row>
    <row r="95">
      <c r="A95" s="2" t="inlineStr">
        <is>
          <t>50114-DST-003</t>
        </is>
      </c>
      <c r="B95" s="2" t="inlineStr">
        <is>
          <t>Door Stop | Rubber Door Stopper (A-290 Half Moon)</t>
        </is>
      </c>
      <c r="C95" s="3" t="inlineStr">
        <is>
          <t>each</t>
        </is>
      </c>
      <c r="D95" s="4" t="n">
        <v>5</v>
      </c>
      <c r="E95" s="4" t="n"/>
      <c r="F95" s="2">
        <f>IFERROR(D95*E95,"")</f>
        <v/>
      </c>
      <c r="G95" s="3" t="inlineStr">
        <is>
          <t>High</t>
        </is>
      </c>
      <c r="H95" s="3" t="inlineStr">
        <is>
          <t>Approved BOQ</t>
        </is>
      </c>
      <c r="I95" s="2" t="inlineStr">
        <is>
          <t>Baseline standard-house quantity</t>
        </is>
      </c>
    </row>
    <row r="96">
      <c r="A96" s="2" t="inlineStr">
        <is>
          <t>50114-PRS-001</t>
        </is>
      </c>
      <c r="B96" s="2" t="inlineStr">
        <is>
          <t>Door Lock | Door Privacy Set</t>
        </is>
      </c>
      <c r="C96" s="3" t="inlineStr">
        <is>
          <t>each</t>
        </is>
      </c>
      <c r="D96" s="4" t="n">
        <v>1</v>
      </c>
      <c r="E96" s="4" t="n"/>
      <c r="F96" s="2">
        <f>IFERROR(D96*E96,"")</f>
        <v/>
      </c>
      <c r="G96" s="3" t="inlineStr">
        <is>
          <t>High</t>
        </is>
      </c>
      <c r="H96" s="3" t="inlineStr">
        <is>
          <t>Approved BOQ</t>
        </is>
      </c>
      <c r="I96" s="2" t="inlineStr">
        <is>
          <t>Baseline standard-house quantity</t>
        </is>
      </c>
    </row>
    <row r="97" ht="18" customHeight="1" s="15">
      <c r="A97" s="2" t="inlineStr">
        <is>
          <t>50114-ENS-001</t>
        </is>
      </c>
      <c r="B97" s="2" t="inlineStr">
        <is>
          <t>Door Lock | Door Entrance Set</t>
        </is>
      </c>
      <c r="C97" s="3" t="inlineStr">
        <is>
          <t>each</t>
        </is>
      </c>
      <c r="D97" s="4" t="n">
        <v>4</v>
      </c>
      <c r="E97" s="4" t="n"/>
      <c r="F97" s="2">
        <f>IFERROR(D97*E97,"")</f>
        <v/>
      </c>
      <c r="G97" s="3" t="inlineStr">
        <is>
          <t>High</t>
        </is>
      </c>
      <c r="H97" s="3" t="inlineStr">
        <is>
          <t>Approved BOQ</t>
        </is>
      </c>
      <c r="I97" s="2" t="inlineStr">
        <is>
          <t>Baseline standard-house quantity</t>
        </is>
      </c>
    </row>
    <row r="98">
      <c r="A98" s="2" t="inlineStr">
        <is>
          <t>50114-PAS-003</t>
        </is>
      </c>
      <c r="B98" s="2" t="inlineStr">
        <is>
          <t>Door Lock | Single Cylinder Deadbolt</t>
        </is>
      </c>
      <c r="C98" s="3" t="inlineStr">
        <is>
          <t>each</t>
        </is>
      </c>
      <c r="D98" s="4" t="n">
        <v>1</v>
      </c>
      <c r="E98" s="4" t="n"/>
      <c r="F98" s="2">
        <f>IFERROR(D98*E98,"")</f>
        <v/>
      </c>
      <c r="G98" s="3" t="inlineStr">
        <is>
          <t>High</t>
        </is>
      </c>
      <c r="H98" s="3" t="inlineStr">
        <is>
          <t>Approved BOQ</t>
        </is>
      </c>
      <c r="I98" s="2" t="inlineStr">
        <is>
          <t>Baseline standard-house quantity</t>
        </is>
      </c>
    </row>
    <row r="99">
      <c r="A99" s="2" t="inlineStr">
        <is>
          <t>50114-WFR-024</t>
        </is>
      </c>
      <c r="B99" s="2" t="inlineStr">
        <is>
          <t>Timber Window - A | 1080 x 1200mm complete with louver frames, blades &amp; security bars w/ Fly Screen</t>
        </is>
      </c>
      <c r="C99" s="3" t="inlineStr">
        <is>
          <t>set</t>
        </is>
      </c>
      <c r="D99" s="4" t="n">
        <v>8</v>
      </c>
      <c r="E99" s="4" t="n"/>
      <c r="F99" s="2">
        <f>IFERROR(D99*E99,"")</f>
        <v/>
      </c>
      <c r="G99" s="3" t="inlineStr">
        <is>
          <t>High</t>
        </is>
      </c>
      <c r="H99" s="3" t="inlineStr">
        <is>
          <t>Approved BOQ</t>
        </is>
      </c>
      <c r="I99" s="2" t="inlineStr">
        <is>
          <t>Baseline standard-house quantity</t>
        </is>
      </c>
    </row>
    <row r="100">
      <c r="A100" s="2" t="inlineStr"/>
      <c r="B100" s="2" t="inlineStr">
        <is>
          <t>Timber Framed Window | 1080 x 1200mm</t>
        </is>
      </c>
      <c r="C100" s="3" t="inlineStr">
        <is>
          <t>each</t>
        </is>
      </c>
      <c r="D100" s="4" t="n">
        <v>8</v>
      </c>
      <c r="E100" s="4" t="n"/>
      <c r="F100" s="2">
        <f>IFERROR(D100*E100,"")</f>
        <v/>
      </c>
      <c r="G100" s="3" t="inlineStr">
        <is>
          <t>High</t>
        </is>
      </c>
      <c r="H100" s="3" t="inlineStr">
        <is>
          <t>Approved BOQ</t>
        </is>
      </c>
      <c r="I100" s="2" t="inlineStr">
        <is>
          <t>Baseline standard-house quantity</t>
        </is>
      </c>
    </row>
    <row r="101">
      <c r="A101" s="2" t="inlineStr"/>
      <c r="B101" s="2" t="inlineStr">
        <is>
          <t>Window Strips | 12 x 38 x 2400mm Timber</t>
        </is>
      </c>
      <c r="C101" s="3" t="inlineStr">
        <is>
          <t>len</t>
        </is>
      </c>
      <c r="D101" s="4" t="n">
        <v>19</v>
      </c>
      <c r="E101" s="4" t="n"/>
      <c r="F101" s="2">
        <f>IFERROR(D101*E101,"")</f>
        <v/>
      </c>
      <c r="G101" s="3" t="inlineStr">
        <is>
          <t>High</t>
        </is>
      </c>
      <c r="H101" s="3" t="inlineStr">
        <is>
          <t>Approved BOQ</t>
        </is>
      </c>
      <c r="I101" s="2" t="inlineStr">
        <is>
          <t>Derived from approved BOQ formula =ROUNDUP((C104*1.1*3+C104*1.2*2)/2.4,0)</t>
        </is>
      </c>
    </row>
    <row r="102">
      <c r="A102" s="2" t="inlineStr"/>
      <c r="B102" s="2" t="inlineStr">
        <is>
          <t>16Ø x 6M Plain Round bar, Galvanized</t>
        </is>
      </c>
      <c r="C102" s="3" t="inlineStr">
        <is>
          <t>len</t>
        </is>
      </c>
      <c r="D102" s="4" t="n">
        <v>14</v>
      </c>
      <c r="E102" s="4" t="n"/>
      <c r="F102" s="2">
        <f>IFERROR(D102*E102,"")</f>
        <v/>
      </c>
      <c r="G102" s="3" t="inlineStr">
        <is>
          <t>High</t>
        </is>
      </c>
      <c r="H102" s="3" t="inlineStr">
        <is>
          <t>Approved BOQ</t>
        </is>
      </c>
      <c r="I102" s="2" t="inlineStr">
        <is>
          <t>Derived from approved BOQ formula =ROUNDUP(1.3*8*C104/6,0)</t>
        </is>
      </c>
    </row>
    <row r="103">
      <c r="A103" s="2" t="inlineStr"/>
      <c r="B103" s="2" t="inlineStr">
        <is>
          <t>Fly Screen</t>
        </is>
      </c>
      <c r="C103" s="3" t="inlineStr">
        <is>
          <t>m2</t>
        </is>
      </c>
      <c r="D103" s="4" t="n">
        <v>12</v>
      </c>
      <c r="E103" s="4" t="n"/>
      <c r="F103" s="2">
        <f>IFERROR(D103*E103,"")</f>
        <v/>
      </c>
      <c r="G103" s="3" t="inlineStr">
        <is>
          <t>High</t>
        </is>
      </c>
      <c r="H103" s="3" t="inlineStr">
        <is>
          <t>Approved BOQ</t>
        </is>
      </c>
      <c r="I103" s="2" t="inlineStr">
        <is>
          <t>Derived from approved BOQ formula =ROUNDUP(1.2*1.2*C104,0)</t>
        </is>
      </c>
    </row>
    <row r="104">
      <c r="A104" s="2" t="inlineStr"/>
      <c r="B104" s="2" t="inlineStr">
        <is>
          <t>150mm x 505mm x 6mm thk Clear Louvre Glass</t>
        </is>
      </c>
      <c r="C104" s="3" t="inlineStr">
        <is>
          <t>each</t>
        </is>
      </c>
      <c r="D104" s="4" t="n">
        <v>112</v>
      </c>
      <c r="E104" s="4" t="n"/>
      <c r="F104" s="2">
        <f>IFERROR(D104*E104,"")</f>
        <v/>
      </c>
      <c r="G104" s="3" t="inlineStr">
        <is>
          <t>High</t>
        </is>
      </c>
      <c r="H104" s="3" t="inlineStr">
        <is>
          <t>Approved BOQ</t>
        </is>
      </c>
      <c r="I104" s="2" t="inlineStr">
        <is>
          <t>Derived from approved BOQ formula =C104*7*2</t>
        </is>
      </c>
    </row>
    <row r="105">
      <c r="A105" s="2" t="inlineStr"/>
      <c r="B105" s="2" t="inlineStr">
        <is>
          <t>Louver Frame, 7blades</t>
        </is>
      </c>
      <c r="C105" s="3" t="inlineStr">
        <is>
          <t>pairs</t>
        </is>
      </c>
      <c r="D105" s="4" t="n">
        <v>16</v>
      </c>
      <c r="E105" s="4" t="n"/>
      <c r="F105" s="2">
        <f>IFERROR(D105*E105,"")</f>
        <v/>
      </c>
      <c r="G105" s="3" t="inlineStr">
        <is>
          <t>High</t>
        </is>
      </c>
      <c r="H105" s="3" t="inlineStr">
        <is>
          <t>Approved BOQ</t>
        </is>
      </c>
      <c r="I105" s="2" t="inlineStr">
        <is>
          <t>Derived from approved BOQ formula =C104*2</t>
        </is>
      </c>
    </row>
    <row r="106">
      <c r="A106" s="2" t="inlineStr">
        <is>
          <t>50114-WFR-025</t>
        </is>
      </c>
      <c r="B106" s="2" t="inlineStr">
        <is>
          <t>Timber Window - B | 800 x 620mm complete with louver frames, blades &amp; security bars w/ Fly Screen</t>
        </is>
      </c>
      <c r="C106" s="3" t="inlineStr">
        <is>
          <t>set</t>
        </is>
      </c>
      <c r="D106" s="4" t="n">
        <v>1</v>
      </c>
      <c r="E106" s="4" t="n"/>
      <c r="F106" s="2">
        <f>IFERROR(D106*E106,"")</f>
        <v/>
      </c>
      <c r="G106" s="3" t="inlineStr">
        <is>
          <t>High</t>
        </is>
      </c>
      <c r="H106" s="3" t="inlineStr">
        <is>
          <t>Approved BOQ</t>
        </is>
      </c>
      <c r="I106" s="2" t="inlineStr">
        <is>
          <t>Baseline standard-house quantity</t>
        </is>
      </c>
    </row>
    <row r="107">
      <c r="A107" s="2" t="inlineStr"/>
      <c r="B107" s="2" t="inlineStr">
        <is>
          <t>Timber Frame Window | 800 x 620mm</t>
        </is>
      </c>
      <c r="C107" s="3" t="inlineStr">
        <is>
          <t>each</t>
        </is>
      </c>
      <c r="D107" s="4" t="n">
        <v>1</v>
      </c>
      <c r="E107" s="4" t="n"/>
      <c r="F107" s="2">
        <f>IFERROR(D107*E107,"")</f>
        <v/>
      </c>
      <c r="G107" s="3" t="inlineStr">
        <is>
          <t>High</t>
        </is>
      </c>
      <c r="H107" s="3" t="inlineStr">
        <is>
          <t>Approved BOQ</t>
        </is>
      </c>
      <c r="I107" s="2" t="inlineStr">
        <is>
          <t>Baseline standard-house quantity</t>
        </is>
      </c>
    </row>
    <row r="108">
      <c r="A108" s="2" t="inlineStr"/>
      <c r="B108" s="2" t="inlineStr">
        <is>
          <t>Window Strips | 12 x 38 x 2400mm Timber</t>
        </is>
      </c>
      <c r="C108" s="3" t="inlineStr">
        <is>
          <t>len</t>
        </is>
      </c>
      <c r="D108" s="4" t="n">
        <v>2</v>
      </c>
      <c r="E108" s="4" t="n"/>
      <c r="F108" s="2">
        <f>IFERROR(D108*E108,"")</f>
        <v/>
      </c>
      <c r="G108" s="3" t="inlineStr">
        <is>
          <t>High</t>
        </is>
      </c>
      <c r="H108" s="3" t="inlineStr">
        <is>
          <t>Approved BOQ</t>
        </is>
      </c>
      <c r="I108" s="2" t="inlineStr">
        <is>
          <t>Derived from approved BOQ formula =ROUNDUP((C111*0.8*2+C111*0.62*2)/2.4,0)</t>
        </is>
      </c>
    </row>
    <row r="109">
      <c r="A109" s="2" t="inlineStr"/>
      <c r="B109" s="2" t="inlineStr">
        <is>
          <t>16Ø x 6M Plain Round bar, Galvanized</t>
        </is>
      </c>
      <c r="C109" s="3" t="inlineStr">
        <is>
          <t>len</t>
        </is>
      </c>
      <c r="D109" s="4" t="n">
        <v>1</v>
      </c>
      <c r="E109" s="4" t="n"/>
      <c r="F109" s="2">
        <f>IFERROR(D109*E109,"")</f>
        <v/>
      </c>
      <c r="G109" s="3" t="inlineStr">
        <is>
          <t>High</t>
        </is>
      </c>
      <c r="H109" s="3" t="inlineStr">
        <is>
          <t>Approved BOQ</t>
        </is>
      </c>
      <c r="I109" s="2" t="inlineStr">
        <is>
          <t>Derived from approved BOQ formula =ROUNDUP(0.7*6*C111/6,0)</t>
        </is>
      </c>
    </row>
    <row r="110">
      <c r="A110" s="2" t="inlineStr"/>
      <c r="B110" s="2" t="inlineStr">
        <is>
          <t>Fly Screen</t>
        </is>
      </c>
      <c r="C110" s="3" t="inlineStr">
        <is>
          <t>m2</t>
        </is>
      </c>
      <c r="D110" s="4" t="n">
        <v>1</v>
      </c>
      <c r="E110" s="4" t="n"/>
      <c r="F110" s="2">
        <f>IFERROR(D110*E110,"")</f>
        <v/>
      </c>
      <c r="G110" s="3" t="inlineStr">
        <is>
          <t>High</t>
        </is>
      </c>
      <c r="H110" s="3" t="inlineStr">
        <is>
          <t>Approved BOQ</t>
        </is>
      </c>
      <c r="I110" s="2" t="inlineStr">
        <is>
          <t>Derived from approved BOQ formula =ROUNDUP(0.8*0.7*C111,0)</t>
        </is>
      </c>
    </row>
    <row r="111" ht="18" customHeight="1" s="15">
      <c r="A111" s="2" t="inlineStr"/>
      <c r="B111" s="2" t="inlineStr">
        <is>
          <t>150mm x 505mm x 6mm thk Frosted Louvre Glass</t>
        </is>
      </c>
      <c r="C111" s="3" t="inlineStr">
        <is>
          <t>each</t>
        </is>
      </c>
      <c r="D111" s="4" t="n">
        <v>5</v>
      </c>
      <c r="E111" s="4" t="n"/>
      <c r="F111" s="2">
        <f>IFERROR(D111*E111,"")</f>
        <v/>
      </c>
      <c r="G111" s="3" t="inlineStr">
        <is>
          <t>High</t>
        </is>
      </c>
      <c r="H111" s="3" t="inlineStr">
        <is>
          <t>Approved BOQ</t>
        </is>
      </c>
      <c r="I111" s="2" t="inlineStr">
        <is>
          <t>Derived from approved BOQ formula =C111*5*1</t>
        </is>
      </c>
    </row>
    <row r="112">
      <c r="A112" s="2" t="inlineStr"/>
      <c r="B112" s="2" t="inlineStr">
        <is>
          <t>Louver Frame, 5blades</t>
        </is>
      </c>
      <c r="C112" s="3" t="inlineStr">
        <is>
          <t>pairs</t>
        </is>
      </c>
      <c r="D112" s="4" t="n">
        <v>1</v>
      </c>
      <c r="E112" s="4" t="n"/>
      <c r="F112" s="2">
        <f>IFERROR(D112*E112,"")</f>
        <v/>
      </c>
      <c r="G112" s="3" t="inlineStr">
        <is>
          <t>High</t>
        </is>
      </c>
      <c r="H112" s="3" t="inlineStr">
        <is>
          <t>Approved BOQ</t>
        </is>
      </c>
      <c r="I112" s="2" t="inlineStr">
        <is>
          <t>Derived from approved BOQ formula =C111</t>
        </is>
      </c>
    </row>
    <row r="113">
      <c r="A113" s="2" t="inlineStr">
        <is>
          <t>50114-WFR-027</t>
        </is>
      </c>
      <c r="B113" s="2" t="inlineStr">
        <is>
          <t>Timber Window - D | 1850 x 1200mm complete with louver frames, blades &amp; security bars w/ Fly Screen</t>
        </is>
      </c>
      <c r="C113" s="3" t="inlineStr">
        <is>
          <t>set</t>
        </is>
      </c>
      <c r="D113" s="4" t="n">
        <v>1</v>
      </c>
      <c r="E113" s="4" t="n"/>
      <c r="F113" s="2">
        <f>IFERROR(D113*E113,"")</f>
        <v/>
      </c>
      <c r="G113" s="3" t="inlineStr">
        <is>
          <t>High</t>
        </is>
      </c>
      <c r="H113" s="3" t="inlineStr">
        <is>
          <t>Approved BOQ</t>
        </is>
      </c>
      <c r="I113" s="2" t="inlineStr">
        <is>
          <t>Baseline standard-house quantity</t>
        </is>
      </c>
    </row>
    <row r="114">
      <c r="A114" s="2" t="inlineStr"/>
      <c r="B114" s="2" t="inlineStr">
        <is>
          <t>Timber Window Frame | 1850 x 1200mm</t>
        </is>
      </c>
      <c r="C114" s="3" t="inlineStr">
        <is>
          <t>each</t>
        </is>
      </c>
      <c r="D114" s="4" t="n">
        <v>1</v>
      </c>
      <c r="E114" s="4" t="n"/>
      <c r="F114" s="2">
        <f>IFERROR(D114*E114,"")</f>
        <v/>
      </c>
      <c r="G114" s="3" t="inlineStr">
        <is>
          <t>High</t>
        </is>
      </c>
      <c r="H114" s="3" t="inlineStr">
        <is>
          <t>Approved BOQ</t>
        </is>
      </c>
      <c r="I114" s="2" t="inlineStr">
        <is>
          <t>Baseline standard-house quantity</t>
        </is>
      </c>
    </row>
    <row r="115">
      <c r="A115" s="2" t="inlineStr"/>
      <c r="B115" s="2" t="inlineStr">
        <is>
          <t>Window Strips | 12 x 38 x 2400mm Timber</t>
        </is>
      </c>
      <c r="C115" s="3" t="inlineStr">
        <is>
          <t>len</t>
        </is>
      </c>
      <c r="D115" s="4" t="n">
        <v>4</v>
      </c>
      <c r="E115" s="4" t="n"/>
      <c r="F115" s="2">
        <f>IFERROR(D115*E115,"")</f>
        <v/>
      </c>
      <c r="G115" s="3" t="inlineStr">
        <is>
          <t>High</t>
        </is>
      </c>
      <c r="H115" s="3" t="inlineStr">
        <is>
          <t>Approved BOQ</t>
        </is>
      </c>
      <c r="I115" s="2" t="inlineStr">
        <is>
          <t>Derived from approved BOQ formula =ROUNDUP((C118*1.85*3+C118*1.2*3)/2.4,0)</t>
        </is>
      </c>
    </row>
    <row r="116">
      <c r="A116" s="2" t="inlineStr"/>
      <c r="B116" s="2" t="inlineStr">
        <is>
          <t>16Ø x 6M Plain Round bar, Galvanized</t>
        </is>
      </c>
      <c r="C116" s="3" t="inlineStr">
        <is>
          <t>len</t>
        </is>
      </c>
      <c r="D116" s="4" t="n">
        <v>3</v>
      </c>
      <c r="E116" s="4" t="n"/>
      <c r="F116" s="2">
        <f>IFERROR(D116*E116,"")</f>
        <v/>
      </c>
      <c r="G116" s="3" t="inlineStr">
        <is>
          <t>High</t>
        </is>
      </c>
      <c r="H116" s="3" t="inlineStr">
        <is>
          <t>Approved BOQ</t>
        </is>
      </c>
      <c r="I116" s="2" t="inlineStr">
        <is>
          <t>Derived from approved BOQ formula =ROUNDUP(1.3*13*C118/6,0)</t>
        </is>
      </c>
    </row>
    <row r="117" ht="18" customHeight="1" s="15">
      <c r="A117" s="2" t="inlineStr"/>
      <c r="B117" s="2" t="inlineStr">
        <is>
          <t>Fly Screen</t>
        </is>
      </c>
      <c r="C117" s="3" t="inlineStr">
        <is>
          <t>m2</t>
        </is>
      </c>
      <c r="D117" s="4" t="n">
        <v>3</v>
      </c>
      <c r="E117" s="4" t="n"/>
      <c r="F117" s="2">
        <f>IFERROR(D117*E117,"")</f>
        <v/>
      </c>
      <c r="G117" s="3" t="inlineStr">
        <is>
          <t>High</t>
        </is>
      </c>
      <c r="H117" s="3" t="inlineStr">
        <is>
          <t>Approved BOQ</t>
        </is>
      </c>
      <c r="I117" s="2" t="inlineStr">
        <is>
          <t>Derived from approved BOQ formula =ROUNDUP(1.2*1.85*C118,0)</t>
        </is>
      </c>
    </row>
    <row r="118">
      <c r="A118" s="2" t="inlineStr"/>
      <c r="B118" s="2" t="inlineStr">
        <is>
          <t>150mm x 505mm x 6mm thk Clear Louvre Glass</t>
        </is>
      </c>
      <c r="C118" s="3" t="inlineStr">
        <is>
          <t>each</t>
        </is>
      </c>
      <c r="D118" s="4" t="n">
        <v>24</v>
      </c>
      <c r="E118" s="4" t="n"/>
      <c r="F118" s="2">
        <f>IFERROR(D118*E118,"")</f>
        <v/>
      </c>
      <c r="G118" s="3" t="inlineStr">
        <is>
          <t>High</t>
        </is>
      </c>
      <c r="H118" s="3" t="inlineStr">
        <is>
          <t>Approved BOQ</t>
        </is>
      </c>
      <c r="I118" s="2" t="inlineStr">
        <is>
          <t>Derived from approved BOQ formula =C118*12*2</t>
        </is>
      </c>
    </row>
    <row r="119">
      <c r="A119" s="2" t="inlineStr"/>
      <c r="B119" s="2" t="inlineStr">
        <is>
          <t>Louver Frame, 7blades</t>
        </is>
      </c>
      <c r="C119" s="3" t="inlineStr">
        <is>
          <t>pairs</t>
        </is>
      </c>
      <c r="D119" s="4" t="n">
        <v>2</v>
      </c>
      <c r="E119" s="4" t="n"/>
      <c r="F119" s="2">
        <f>IFERROR(D119*E119,"")</f>
        <v/>
      </c>
      <c r="G119" s="3" t="inlineStr">
        <is>
          <t>High</t>
        </is>
      </c>
      <c r="H119" s="3" t="inlineStr">
        <is>
          <t>Approved BOQ</t>
        </is>
      </c>
      <c r="I119" s="2" t="inlineStr">
        <is>
          <t>Derived from approved BOQ formula =C118*2</t>
        </is>
      </c>
    </row>
    <row r="120">
      <c r="A120" s="2" t="inlineStr"/>
      <c r="B120" s="2" t="inlineStr">
        <is>
          <t>Louver Frame, 5blades</t>
        </is>
      </c>
      <c r="C120" s="3" t="inlineStr">
        <is>
          <t>pairs</t>
        </is>
      </c>
      <c r="D120" s="4" t="n">
        <v>2</v>
      </c>
      <c r="E120" s="4" t="n"/>
      <c r="F120" s="2">
        <f>IFERROR(D120*E120,"")</f>
        <v/>
      </c>
      <c r="G120" s="3" t="inlineStr">
        <is>
          <t>High</t>
        </is>
      </c>
      <c r="H120" s="3" t="inlineStr">
        <is>
          <t>Approved BOQ</t>
        </is>
      </c>
      <c r="I120" s="2" t="inlineStr">
        <is>
          <t>Derived from approved BOQ formula =C118*2</t>
        </is>
      </c>
    </row>
    <row r="121">
      <c r="A121" s="2" t="inlineStr">
        <is>
          <t>50114-WLV-004</t>
        </is>
      </c>
      <c r="B121" s="2" t="inlineStr">
        <is>
          <t>Flashing | Window Head Flashing, 620mm</t>
        </is>
      </c>
      <c r="C121" s="3" t="inlineStr">
        <is>
          <t>len</t>
        </is>
      </c>
      <c r="D121" s="4" t="n">
        <v>1</v>
      </c>
      <c r="E121" s="4" t="n"/>
      <c r="F121" s="2">
        <f>IFERROR(D121*E121,"")</f>
        <v/>
      </c>
      <c r="G121" s="3" t="inlineStr">
        <is>
          <t>High</t>
        </is>
      </c>
      <c r="H121" s="3" t="inlineStr">
        <is>
          <t>Approved BOQ</t>
        </is>
      </c>
      <c r="I121" s="2" t="inlineStr">
        <is>
          <t>Baseline standard-house quantity</t>
        </is>
      </c>
    </row>
    <row r="122">
      <c r="A122" s="2" t="inlineStr">
        <is>
          <t>50114-WLV-005</t>
        </is>
      </c>
      <c r="B122" s="2" t="inlineStr">
        <is>
          <t>Flashing | Window Head Flashing, 1200mm</t>
        </is>
      </c>
      <c r="C122" s="3" t="inlineStr">
        <is>
          <t>len</t>
        </is>
      </c>
      <c r="D122" s="4" t="n">
        <v>9</v>
      </c>
      <c r="E122" s="4" t="n"/>
      <c r="F122" s="2">
        <f>IFERROR(D122*E122,"")</f>
        <v/>
      </c>
      <c r="G122" s="3" t="inlineStr">
        <is>
          <t>High</t>
        </is>
      </c>
      <c r="H122" s="3" t="inlineStr">
        <is>
          <t>Approved BOQ</t>
        </is>
      </c>
      <c r="I122" s="2" t="inlineStr">
        <is>
          <t>Baseline standard-house quantity</t>
        </is>
      </c>
    </row>
    <row r="123">
      <c r="A123" s="2" t="inlineStr"/>
      <c r="B123" s="2" t="inlineStr">
        <is>
          <t>Flashing | Door Head Flashing, 1200mm</t>
        </is>
      </c>
      <c r="C123" s="3" t="inlineStr">
        <is>
          <t>len</t>
        </is>
      </c>
      <c r="D123" s="4" t="n">
        <v>1</v>
      </c>
      <c r="E123" s="4" t="n"/>
      <c r="F123" s="2">
        <f>IFERROR(D123*E123,"")</f>
        <v/>
      </c>
      <c r="G123" s="3" t="inlineStr">
        <is>
          <t>High</t>
        </is>
      </c>
      <c r="H123" s="3" t="inlineStr">
        <is>
          <t>Approved BOQ</t>
        </is>
      </c>
      <c r="I123" s="2" t="inlineStr">
        <is>
          <t>Baseline standard-house quantity</t>
        </is>
      </c>
    </row>
    <row r="124">
      <c r="A124" s="2" t="inlineStr"/>
      <c r="B124" s="2" t="inlineStr">
        <is>
          <t>Flashing | Doo Side Flashing, 2200mm</t>
        </is>
      </c>
      <c r="C124" s="3" t="inlineStr">
        <is>
          <t>len</t>
        </is>
      </c>
      <c r="D124" s="4" t="n">
        <v>2</v>
      </c>
      <c r="E124" s="4" t="n"/>
      <c r="F124" s="2">
        <f>IFERROR(D124*E124,"")</f>
        <v/>
      </c>
      <c r="G124" s="3" t="inlineStr">
        <is>
          <t>High</t>
        </is>
      </c>
      <c r="H124" s="3" t="inlineStr">
        <is>
          <t>Approved BOQ</t>
        </is>
      </c>
      <c r="I124" s="2" t="inlineStr">
        <is>
          <t>Baseline standard-house quantity</t>
        </is>
      </c>
    </row>
    <row r="125">
      <c r="A125" s="2" t="inlineStr">
        <is>
          <t>50111-SCC-008</t>
        </is>
      </c>
      <c r="B125" s="2" t="inlineStr">
        <is>
          <t>Fixing | 10G - 24 x 40mm Countersunk, DP self drilling screw</t>
        </is>
      </c>
      <c r="C125" s="3" t="inlineStr">
        <is>
          <t>each</t>
        </is>
      </c>
      <c r="D125" s="4" t="n">
        <v>400</v>
      </c>
      <c r="E125" s="4" t="n"/>
      <c r="F125" s="2">
        <f>IFERROR(D125*E125,"")</f>
        <v/>
      </c>
      <c r="G125" s="3" t="inlineStr">
        <is>
          <t>High</t>
        </is>
      </c>
      <c r="H125" s="3" t="inlineStr">
        <is>
          <t>Approved BOQ</t>
        </is>
      </c>
      <c r="I125" s="2" t="inlineStr">
        <is>
          <t>Baseline standard-house quantity</t>
        </is>
      </c>
    </row>
    <row r="126">
      <c r="A126" s="16" t="inlineStr">
        <is>
          <t>50115 - INTERNAL LININGS &amp; FINISHES</t>
        </is>
      </c>
      <c r="B126" s="24" t="n"/>
      <c r="C126" s="24" t="n"/>
      <c r="D126" s="24" t="n"/>
      <c r="E126" s="24" t="n"/>
      <c r="F126" s="24" t="n"/>
      <c r="G126" s="24" t="n"/>
      <c r="H126" s="24" t="n"/>
      <c r="I126" s="25" t="n"/>
    </row>
    <row r="127">
      <c r="A127" s="2" t="inlineStr">
        <is>
          <t>50115-FCS-001</t>
        </is>
      </c>
      <c r="B127" s="2" t="inlineStr">
        <is>
          <t>FC Sheet Wall | 6mm thk, 1200 x 2700 Sheet, AS2908.2</t>
        </is>
      </c>
      <c r="C127" s="3" t="inlineStr">
        <is>
          <t>each</t>
        </is>
      </c>
      <c r="D127" s="4" t="n">
        <v>76</v>
      </c>
      <c r="E127" s="4" t="n"/>
      <c r="F127" s="2">
        <f>IFERROR(D127*E127,"")</f>
        <v/>
      </c>
      <c r="G127" s="3" t="inlineStr">
        <is>
          <t>High</t>
        </is>
      </c>
      <c r="H127" s="3" t="inlineStr">
        <is>
          <t>Approved BOQ</t>
        </is>
      </c>
      <c r="I127" s="2" t="inlineStr">
        <is>
          <t>Baseline standard-house quantity</t>
        </is>
      </c>
    </row>
    <row r="128">
      <c r="A128" s="2" t="inlineStr">
        <is>
          <t>50115-FCS-002</t>
        </is>
      </c>
      <c r="B128" s="2" t="inlineStr">
        <is>
          <t>FC Sheet Ceiling | 6mm thk, 1200 x 2400 Sheet, AS2908.2</t>
        </is>
      </c>
      <c r="C128" s="3" t="inlineStr">
        <is>
          <t>each</t>
        </is>
      </c>
      <c r="D128" s="4" t="n">
        <v>42</v>
      </c>
      <c r="E128" s="4" t="n"/>
      <c r="F128" s="2">
        <f>IFERROR(D128*E128,"")</f>
        <v/>
      </c>
      <c r="G128" s="3" t="inlineStr">
        <is>
          <t>High</t>
        </is>
      </c>
      <c r="H128" s="3" t="inlineStr">
        <is>
          <t>Approved BOQ</t>
        </is>
      </c>
      <c r="I128" s="2" t="inlineStr">
        <is>
          <t>Baseline standard-house quantity</t>
        </is>
      </c>
    </row>
    <row r="129">
      <c r="A129" s="2" t="inlineStr">
        <is>
          <t>50115-FCS-004</t>
        </is>
      </c>
      <c r="B129" s="2" t="inlineStr">
        <is>
          <t>FC Sheet Floor | 18mm thk, 1200 x 2400 Sheet</t>
        </is>
      </c>
      <c r="C129" s="3" t="inlineStr">
        <is>
          <t>each</t>
        </is>
      </c>
      <c r="D129" s="4" t="n">
        <v>24</v>
      </c>
      <c r="E129" s="4" t="n"/>
      <c r="F129" s="2">
        <f>IFERROR(D129*E129,"")</f>
        <v/>
      </c>
      <c r="G129" s="3" t="inlineStr">
        <is>
          <t>High</t>
        </is>
      </c>
      <c r="H129" s="3" t="inlineStr">
        <is>
          <t>Approved BOQ</t>
        </is>
      </c>
      <c r="I129" s="2" t="inlineStr">
        <is>
          <t>Baseline standard-house quantity</t>
        </is>
      </c>
    </row>
    <row r="130">
      <c r="A130" s="2" t="inlineStr">
        <is>
          <t>50111-ADH-001</t>
        </is>
      </c>
      <c r="B130" s="2" t="inlineStr">
        <is>
          <t>Wall Stud Adhesive (4 lit)</t>
        </is>
      </c>
      <c r="C130" s="3" t="inlineStr">
        <is>
          <t>each</t>
        </is>
      </c>
      <c r="D130" s="4" t="n">
        <v>7</v>
      </c>
      <c r="E130" s="4" t="n"/>
      <c r="F130" s="2">
        <f>IFERROR(D130*E130,"")</f>
        <v/>
      </c>
      <c r="G130" s="3" t="inlineStr">
        <is>
          <t>High</t>
        </is>
      </c>
      <c r="H130" s="3" t="inlineStr">
        <is>
          <t>Approved BOQ</t>
        </is>
      </c>
      <c r="I130" s="2" t="inlineStr">
        <is>
          <t>Baseline standard-house quantity</t>
        </is>
      </c>
    </row>
    <row r="131">
      <c r="A131" s="2" t="inlineStr">
        <is>
          <t>50115-FLR-001</t>
        </is>
      </c>
      <c r="B131" s="2" t="inlineStr">
        <is>
          <t>Vinyl Floor Plank | 2mm thk, 150x1220mm Vinyl Plank</t>
        </is>
      </c>
      <c r="C131" s="3" t="inlineStr">
        <is>
          <t>m2</t>
        </is>
      </c>
      <c r="D131" s="4" t="n">
        <v>58</v>
      </c>
      <c r="E131" s="4" t="n"/>
      <c r="F131" s="2">
        <f>IFERROR(D131*E131,"")</f>
        <v/>
      </c>
      <c r="G131" s="3" t="inlineStr">
        <is>
          <t>High</t>
        </is>
      </c>
      <c r="H131" s="3" t="inlineStr">
        <is>
          <t>Approved BOQ</t>
        </is>
      </c>
      <c r="I131" s="2" t="inlineStr">
        <is>
          <t>Baseline standard-house quantity</t>
        </is>
      </c>
    </row>
    <row r="132" ht="18" customHeight="1" s="15">
      <c r="A132" s="2" t="inlineStr">
        <is>
          <t>50115-FLR-004</t>
        </is>
      </c>
      <c r="B132" s="2" t="inlineStr">
        <is>
          <t>Ceramic Tiles | 600mm x 600mm Ceramic Non-Slip Floor Tiles</t>
        </is>
      </c>
      <c r="C132" s="3" t="inlineStr">
        <is>
          <t>m2</t>
        </is>
      </c>
      <c r="D132" s="4" t="n">
        <v>5.76</v>
      </c>
      <c r="E132" s="4" t="n"/>
      <c r="F132" s="2">
        <f>IFERROR(D132*E132,"")</f>
        <v/>
      </c>
      <c r="G132" s="3" t="inlineStr">
        <is>
          <t>High</t>
        </is>
      </c>
      <c r="H132" s="3" t="inlineStr">
        <is>
          <t>Approved BOQ</t>
        </is>
      </c>
      <c r="I132" s="2" t="inlineStr">
        <is>
          <t>Baseline standard-house quantity</t>
        </is>
      </c>
    </row>
    <row r="133">
      <c r="A133" s="2" t="inlineStr">
        <is>
          <t>50115-FLR-014</t>
        </is>
      </c>
      <c r="B133" s="2" t="inlineStr">
        <is>
          <t>Ceramic Tiles | 150 x150 Ceramic Wall Tiles (white)</t>
        </is>
      </c>
      <c r="C133" s="3" t="inlineStr">
        <is>
          <t>m2</t>
        </is>
      </c>
      <c r="D133" s="4" t="n">
        <v>6</v>
      </c>
      <c r="E133" s="4" t="n"/>
      <c r="F133" s="2">
        <f>IFERROR(D133*E133,"")</f>
        <v/>
      </c>
      <c r="G133" s="3" t="inlineStr">
        <is>
          <t>High</t>
        </is>
      </c>
      <c r="H133" s="3" t="inlineStr">
        <is>
          <t>Approved BOQ</t>
        </is>
      </c>
      <c r="I133" s="2" t="inlineStr">
        <is>
          <t>Baseline standard-house quantity</t>
        </is>
      </c>
    </row>
    <row r="134">
      <c r="A134" s="2" t="inlineStr">
        <is>
          <t>50115-HMJ-003</t>
        </is>
      </c>
      <c r="B134" s="2" t="inlineStr">
        <is>
          <t>Internal lining Accessory | PVC H Joiner 6mm, 2400mm</t>
        </is>
      </c>
      <c r="C134" s="3" t="inlineStr">
        <is>
          <t>len</t>
        </is>
      </c>
      <c r="D134" s="4" t="n">
        <v>62</v>
      </c>
      <c r="E134" s="4" t="n"/>
      <c r="F134" s="2">
        <f>IFERROR(D134*E134,"")</f>
        <v/>
      </c>
      <c r="G134" s="3" t="inlineStr">
        <is>
          <t>High</t>
        </is>
      </c>
      <c r="H134" s="3" t="inlineStr">
        <is>
          <t>Approved BOQ</t>
        </is>
      </c>
      <c r="I134" s="2" t="inlineStr">
        <is>
          <t>Baseline standard-house quantity</t>
        </is>
      </c>
    </row>
    <row r="135">
      <c r="A135" s="2" t="inlineStr">
        <is>
          <t>50115-HMJ-004</t>
        </is>
      </c>
      <c r="B135" s="2" t="inlineStr">
        <is>
          <t>Internal lining Accessory | PVC H Joiner 6mm, 2700mm</t>
        </is>
      </c>
      <c r="C135" s="3" t="inlineStr">
        <is>
          <t>len</t>
        </is>
      </c>
      <c r="D135" s="4" t="n">
        <v>76</v>
      </c>
      <c r="E135" s="4" t="n"/>
      <c r="F135" s="2">
        <f>IFERROR(D135*E135,"")</f>
        <v/>
      </c>
      <c r="G135" s="3" t="inlineStr">
        <is>
          <t>High</t>
        </is>
      </c>
      <c r="H135" s="3" t="inlineStr">
        <is>
          <t>Approved BOQ</t>
        </is>
      </c>
      <c r="I135" s="2" t="inlineStr">
        <is>
          <t>Baseline standard-house quantity</t>
        </is>
      </c>
    </row>
    <row r="136">
      <c r="A136" s="2" t="inlineStr">
        <is>
          <t>50115-HMJ-006</t>
        </is>
      </c>
      <c r="B136" s="2" t="inlineStr">
        <is>
          <t>6.0mm x 2700mm PVC Internal Capping, corner</t>
        </is>
      </c>
      <c r="C136" s="3" t="inlineStr">
        <is>
          <t>len</t>
        </is>
      </c>
      <c r="D136" s="4" t="n">
        <v>33</v>
      </c>
      <c r="E136" s="4" t="n"/>
      <c r="F136" s="2">
        <f>IFERROR(D136*E136,"")</f>
        <v/>
      </c>
      <c r="G136" s="3" t="inlineStr">
        <is>
          <t>High</t>
        </is>
      </c>
      <c r="H136" s="3" t="inlineStr">
        <is>
          <t>Approved BOQ</t>
        </is>
      </c>
      <c r="I136" s="2" t="inlineStr">
        <is>
          <t>Baseline standard-house quantity</t>
        </is>
      </c>
    </row>
    <row r="137">
      <c r="A137" s="2" t="inlineStr">
        <is>
          <t>50115-HMJ-007</t>
        </is>
      </c>
      <c r="B137" s="2" t="inlineStr">
        <is>
          <t>6.0mm x 2700mm PVC External Capping, corner</t>
        </is>
      </c>
      <c r="C137" s="3" t="inlineStr">
        <is>
          <t>len</t>
        </is>
      </c>
      <c r="D137" s="4" t="n">
        <v>9</v>
      </c>
      <c r="E137" s="4" t="n"/>
      <c r="F137" s="2">
        <f>IFERROR(D137*E137,"")</f>
        <v/>
      </c>
      <c r="G137" s="3" t="inlineStr">
        <is>
          <t>High</t>
        </is>
      </c>
      <c r="H137" s="3" t="inlineStr">
        <is>
          <t>Approved BOQ</t>
        </is>
      </c>
      <c r="I137" s="2" t="inlineStr">
        <is>
          <t>Baseline standard-house quantity</t>
        </is>
      </c>
    </row>
    <row r="138">
      <c r="A138" s="2" t="inlineStr">
        <is>
          <t>50115-FLR-010</t>
        </is>
      </c>
      <c r="B138" s="2" t="inlineStr">
        <is>
          <t>Floor aluminum angle trim, 900mm</t>
        </is>
      </c>
      <c r="C138" s="3" t="inlineStr">
        <is>
          <t>each</t>
        </is>
      </c>
      <c r="D138" s="4" t="n">
        <v>2</v>
      </c>
      <c r="E138" s="4" t="n"/>
      <c r="F138" s="2">
        <f>IFERROR(D138*E138,"")</f>
        <v/>
      </c>
      <c r="G138" s="3" t="inlineStr">
        <is>
          <t>High</t>
        </is>
      </c>
      <c r="H138" s="3" t="inlineStr">
        <is>
          <t>Approved BOQ</t>
        </is>
      </c>
      <c r="I138" s="2" t="inlineStr">
        <is>
          <t>Baseline standard-house quantity</t>
        </is>
      </c>
    </row>
    <row r="139" ht="18" customHeight="1" s="15">
      <c r="A139" s="2" t="inlineStr">
        <is>
          <t>50111-SCC-010</t>
        </is>
      </c>
      <c r="B139" s="2" t="inlineStr">
        <is>
          <t>Fixing | 6G-18x25 BH, DP self drilling screw</t>
        </is>
      </c>
      <c r="C139" s="3" t="inlineStr">
        <is>
          <t>each</t>
        </is>
      </c>
      <c r="D139" s="4" t="n">
        <v>3600</v>
      </c>
      <c r="E139" s="4" t="n"/>
      <c r="F139" s="2">
        <f>IFERROR(D139*E139,"")</f>
        <v/>
      </c>
      <c r="G139" s="3" t="inlineStr">
        <is>
          <t>High</t>
        </is>
      </c>
      <c r="H139" s="3" t="inlineStr">
        <is>
          <t>Approved BOQ</t>
        </is>
      </c>
      <c r="I139" s="2" t="inlineStr">
        <is>
          <t>Baseline standard-house quantity</t>
        </is>
      </c>
    </row>
    <row r="140">
      <c r="A140" s="2" t="inlineStr">
        <is>
          <t>50111-SCC-008</t>
        </is>
      </c>
      <c r="B140" s="2" t="inlineStr">
        <is>
          <t>Fixing | 10G - 24 x 40mm Countersunk, DP self drilling screw</t>
        </is>
      </c>
      <c r="C140" s="3" t="inlineStr">
        <is>
          <t>each</t>
        </is>
      </c>
      <c r="D140" s="4" t="n">
        <v>720</v>
      </c>
      <c r="E140" s="4" t="n"/>
      <c r="F140" s="2">
        <f>IFERROR(D140*E140,"")</f>
        <v/>
      </c>
      <c r="G140" s="3" t="inlineStr">
        <is>
          <t>High</t>
        </is>
      </c>
      <c r="H140" s="3" t="inlineStr">
        <is>
          <t>Approved BOQ</t>
        </is>
      </c>
      <c r="I140" s="2" t="inlineStr">
        <is>
          <t>Baseline standard-house quantity</t>
        </is>
      </c>
    </row>
    <row r="141">
      <c r="A141" s="2" t="inlineStr">
        <is>
          <t>50110-ADH-002</t>
        </is>
      </c>
      <c r="B141" s="2" t="inlineStr">
        <is>
          <t>Flexible Tile Adhesive- 20 kg</t>
        </is>
      </c>
      <c r="C141" s="3" t="inlineStr">
        <is>
          <t>each</t>
        </is>
      </c>
      <c r="D141" s="4" t="n">
        <v>4</v>
      </c>
      <c r="E141" s="4" t="n"/>
      <c r="F141" s="2">
        <f>IFERROR(D141*E141,"")</f>
        <v/>
      </c>
      <c r="G141" s="3" t="inlineStr">
        <is>
          <t>High</t>
        </is>
      </c>
      <c r="H141" s="3" t="inlineStr">
        <is>
          <t>Approved BOQ</t>
        </is>
      </c>
      <c r="I141" s="2" t="inlineStr">
        <is>
          <t>Baseline standard-house quantity</t>
        </is>
      </c>
    </row>
    <row r="142">
      <c r="A142" s="2" t="inlineStr">
        <is>
          <t>50111-ADH-005</t>
        </is>
      </c>
      <c r="B142" s="2" t="inlineStr">
        <is>
          <t>Vinyl Plank Adhesive - 15 litre</t>
        </is>
      </c>
      <c r="C142" s="3" t="inlineStr">
        <is>
          <t>each</t>
        </is>
      </c>
      <c r="D142" s="4" t="n">
        <v>2</v>
      </c>
      <c r="E142" s="4" t="n"/>
      <c r="F142" s="2">
        <f>IFERROR(D142*E142,"")</f>
        <v/>
      </c>
      <c r="G142" s="3" t="inlineStr">
        <is>
          <t>High</t>
        </is>
      </c>
      <c r="H142" s="3" t="inlineStr">
        <is>
          <t>Approved BOQ</t>
        </is>
      </c>
      <c r="I142" s="2" t="inlineStr">
        <is>
          <t>Baseline standard-house quantity</t>
        </is>
      </c>
    </row>
    <row r="143">
      <c r="A143" s="16" t="inlineStr">
        <is>
          <t>50117 - HYDRAULICS</t>
        </is>
      </c>
      <c r="B143" s="24" t="n"/>
      <c r="C143" s="24" t="n"/>
      <c r="D143" s="24" t="n"/>
      <c r="E143" s="24" t="n"/>
      <c r="F143" s="24" t="n"/>
      <c r="G143" s="24" t="n"/>
      <c r="H143" s="24" t="n"/>
      <c r="I143" s="25" t="n"/>
    </row>
    <row r="144">
      <c r="A144" s="2" t="inlineStr">
        <is>
          <t>50125-SCI-001</t>
        </is>
      </c>
      <c r="B144" s="2" t="inlineStr">
        <is>
          <t>PEX Straight Coupling Inline 16mm x 16mm</t>
        </is>
      </c>
      <c r="C144" s="3" t="inlineStr">
        <is>
          <t>each</t>
        </is>
      </c>
      <c r="D144" s="4" t="n">
        <v>4</v>
      </c>
      <c r="E144" s="4" t="n"/>
      <c r="F144" s="2">
        <f>IFERROR(D144*E144,"")</f>
        <v/>
      </c>
      <c r="G144" s="3" t="inlineStr">
        <is>
          <t>High</t>
        </is>
      </c>
      <c r="H144" s="3" t="inlineStr">
        <is>
          <t>Approved BOQ</t>
        </is>
      </c>
      <c r="I144" s="2" t="inlineStr">
        <is>
          <t>Baseline standard-house quantity</t>
        </is>
      </c>
    </row>
    <row r="145">
      <c r="A145" s="2" t="inlineStr">
        <is>
          <t>50125-SCI-002</t>
        </is>
      </c>
      <c r="B145" s="2" t="inlineStr">
        <is>
          <t>PEX Straight Coupling Inline 25mm x 25mm</t>
        </is>
      </c>
      <c r="C145" s="3" t="inlineStr">
        <is>
          <t>each</t>
        </is>
      </c>
      <c r="D145" s="4" t="n">
        <v>8</v>
      </c>
      <c r="E145" s="4" t="n"/>
      <c r="F145" s="2">
        <f>IFERROR(D145*E145,"")</f>
        <v/>
      </c>
      <c r="G145" s="3" t="inlineStr">
        <is>
          <t>High</t>
        </is>
      </c>
      <c r="H145" s="3" t="inlineStr">
        <is>
          <t>Approved BOQ</t>
        </is>
      </c>
      <c r="I145" s="2" t="inlineStr">
        <is>
          <t>Baseline standard-house quantity</t>
        </is>
      </c>
    </row>
    <row r="146">
      <c r="A146" s="2" t="inlineStr">
        <is>
          <t>50125-RCC-002</t>
        </is>
      </c>
      <c r="B146" s="2" t="inlineStr">
        <is>
          <t>PEX Reducing Coupling 25 x 16mm</t>
        </is>
      </c>
      <c r="C146" s="3" t="inlineStr">
        <is>
          <t>each</t>
        </is>
      </c>
      <c r="D146" s="4" t="n">
        <v>9</v>
      </c>
      <c r="E146" s="4" t="n"/>
      <c r="F146" s="2">
        <f>IFERROR(D146*E146,"")</f>
        <v/>
      </c>
      <c r="G146" s="3" t="inlineStr">
        <is>
          <t>High</t>
        </is>
      </c>
      <c r="H146" s="3" t="inlineStr">
        <is>
          <t>Approved BOQ</t>
        </is>
      </c>
      <c r="I146" s="2" t="inlineStr">
        <is>
          <t>Baseline standard-house quantity</t>
        </is>
      </c>
    </row>
    <row r="147">
      <c r="A147" s="2" t="inlineStr">
        <is>
          <t>50125-RCC-003</t>
        </is>
      </c>
      <c r="B147" s="2" t="inlineStr">
        <is>
          <t>PEX Reducing Coupling 20 x 25mm</t>
        </is>
      </c>
      <c r="C147" s="3" t="inlineStr">
        <is>
          <t>each</t>
        </is>
      </c>
      <c r="D147" s="4" t="n">
        <v>2</v>
      </c>
      <c r="E147" s="4" t="n"/>
      <c r="F147" s="2">
        <f>IFERROR(D147*E147,"")</f>
        <v/>
      </c>
      <c r="G147" s="3" t="inlineStr">
        <is>
          <t>High</t>
        </is>
      </c>
      <c r="H147" s="3" t="inlineStr">
        <is>
          <t>Approved BOQ</t>
        </is>
      </c>
      <c r="I147" s="2" t="inlineStr">
        <is>
          <t>Baseline standard-house quantity</t>
        </is>
      </c>
    </row>
    <row r="148">
      <c r="A148" s="2" t="inlineStr">
        <is>
          <t>50125-MSC-005</t>
        </is>
      </c>
      <c r="B148" s="2" t="inlineStr">
        <is>
          <t>PEX Straight Connector Male Thread Fixed Adaptor 16 x 1/2" MI</t>
        </is>
      </c>
      <c r="C148" s="3" t="inlineStr">
        <is>
          <t>each</t>
        </is>
      </c>
      <c r="D148" s="4" t="n">
        <v>3</v>
      </c>
      <c r="E148" s="4" t="n"/>
      <c r="F148" s="2">
        <f>IFERROR(D148*E148,"")</f>
        <v/>
      </c>
      <c r="G148" s="3" t="inlineStr">
        <is>
          <t>High</t>
        </is>
      </c>
      <c r="H148" s="3" t="inlineStr">
        <is>
          <t>Approved BOQ</t>
        </is>
      </c>
      <c r="I148" s="2" t="inlineStr">
        <is>
          <t>Baseline standard-house quantity</t>
        </is>
      </c>
    </row>
    <row r="149">
      <c r="A149" s="2" t="inlineStr">
        <is>
          <t>50125-MSC-006</t>
        </is>
      </c>
      <c r="B149" s="2" t="inlineStr">
        <is>
          <t>PEX Straight Connector Male Thread Fixed Adaptor 20 x 3/4" MI</t>
        </is>
      </c>
      <c r="C149" s="3" t="inlineStr">
        <is>
          <t>each</t>
        </is>
      </c>
      <c r="D149" s="4" t="n">
        <v>2</v>
      </c>
      <c r="E149" s="4" t="n"/>
      <c r="F149" s="2">
        <f>IFERROR(D149*E149,"")</f>
        <v/>
      </c>
      <c r="G149" s="3" t="inlineStr">
        <is>
          <t>High</t>
        </is>
      </c>
      <c r="H149" s="3" t="inlineStr">
        <is>
          <t>Approved BOQ</t>
        </is>
      </c>
      <c r="I149" s="2" t="inlineStr">
        <is>
          <t>Baseline standard-house quantity</t>
        </is>
      </c>
    </row>
    <row r="150">
      <c r="A150" s="2" t="inlineStr">
        <is>
          <t>50125-MSC-007</t>
        </is>
      </c>
      <c r="B150" s="2" t="inlineStr">
        <is>
          <t>PEX Straight Connector Male Thread Fixed Adaptor 25 x 1" MI</t>
        </is>
      </c>
      <c r="C150" s="3" t="inlineStr">
        <is>
          <t>each</t>
        </is>
      </c>
      <c r="D150" s="4" t="n">
        <v>4</v>
      </c>
      <c r="E150" s="4" t="n"/>
      <c r="F150" s="2">
        <f>IFERROR(D150*E150,"")</f>
        <v/>
      </c>
      <c r="G150" s="3" t="inlineStr">
        <is>
          <t>High</t>
        </is>
      </c>
      <c r="H150" s="3" t="inlineStr">
        <is>
          <t>Approved BOQ</t>
        </is>
      </c>
      <c r="I150" s="2" t="inlineStr">
        <is>
          <t>Baseline standard-house quantity</t>
        </is>
      </c>
    </row>
    <row r="151">
      <c r="A151" s="2" t="inlineStr">
        <is>
          <t>50125-EEP-001</t>
        </is>
      </c>
      <c r="B151" s="2" t="inlineStr">
        <is>
          <t>PEX Equal Elbow 15 x 15mm</t>
        </is>
      </c>
      <c r="C151" s="3" t="inlineStr">
        <is>
          <t>each</t>
        </is>
      </c>
      <c r="D151" s="4" t="n">
        <v>4</v>
      </c>
      <c r="E151" s="4" t="n"/>
      <c r="F151" s="2">
        <f>IFERROR(D151*E151,"")</f>
        <v/>
      </c>
      <c r="G151" s="3" t="inlineStr">
        <is>
          <t>High</t>
        </is>
      </c>
      <c r="H151" s="3" t="inlineStr">
        <is>
          <t>Approved BOQ</t>
        </is>
      </c>
      <c r="I151" s="2" t="inlineStr">
        <is>
          <t>Baseline standard-house quantity</t>
        </is>
      </c>
    </row>
    <row r="152">
      <c r="A152" s="2" t="inlineStr">
        <is>
          <t>50125-EEP-003</t>
        </is>
      </c>
      <c r="B152" s="2" t="inlineStr">
        <is>
          <t>PEX Equal Elbow 20 x 20mm</t>
        </is>
      </c>
      <c r="C152" s="3" t="inlineStr">
        <is>
          <t>each</t>
        </is>
      </c>
      <c r="D152" s="4" t="n">
        <v>3</v>
      </c>
      <c r="E152" s="4" t="n"/>
      <c r="F152" s="2">
        <f>IFERROR(D152*E152,"")</f>
        <v/>
      </c>
      <c r="G152" s="3" t="inlineStr">
        <is>
          <t>High</t>
        </is>
      </c>
      <c r="H152" s="3" t="inlineStr">
        <is>
          <t>Approved BOQ</t>
        </is>
      </c>
      <c r="I152" s="2" t="inlineStr">
        <is>
          <t>Baseline standard-house quantity</t>
        </is>
      </c>
    </row>
    <row r="153">
      <c r="A153" s="2" t="inlineStr">
        <is>
          <t>50125-EEP-002</t>
        </is>
      </c>
      <c r="B153" s="2" t="inlineStr">
        <is>
          <t>PEX Equal Elbow 25 x 25mm</t>
        </is>
      </c>
      <c r="C153" s="3" t="inlineStr">
        <is>
          <t>each</t>
        </is>
      </c>
      <c r="D153" s="4" t="n">
        <v>15</v>
      </c>
      <c r="E153" s="4" t="n"/>
      <c r="F153" s="2">
        <f>IFERROR(D153*E153,"")</f>
        <v/>
      </c>
      <c r="G153" s="3" t="inlineStr">
        <is>
          <t>High</t>
        </is>
      </c>
      <c r="H153" s="3" t="inlineStr">
        <is>
          <t>Approved BOQ</t>
        </is>
      </c>
      <c r="I153" s="2" t="inlineStr">
        <is>
          <t>Baseline standard-house quantity</t>
        </is>
      </c>
    </row>
    <row r="154" ht="18" customHeight="1" s="15">
      <c r="A154" s="2" t="inlineStr">
        <is>
          <t>50125-WBE-001</t>
        </is>
      </c>
      <c r="B154" s="2" t="inlineStr">
        <is>
          <t>PEX Winged Back Elbow Male Thread Ext 65mm 15 x 1/2" x 65mm MI</t>
        </is>
      </c>
      <c r="C154" s="3" t="inlineStr">
        <is>
          <t>each</t>
        </is>
      </c>
      <c r="D154" s="4" t="n">
        <v>8</v>
      </c>
      <c r="E154" s="4" t="n"/>
      <c r="F154" s="2">
        <f>IFERROR(D154*E154,"")</f>
        <v/>
      </c>
      <c r="G154" s="3" t="inlineStr">
        <is>
          <t>High</t>
        </is>
      </c>
      <c r="H154" s="3" t="inlineStr">
        <is>
          <t>Approved BOQ</t>
        </is>
      </c>
      <c r="I154" s="2" t="inlineStr">
        <is>
          <t>Baseline standard-house quantity</t>
        </is>
      </c>
    </row>
    <row r="155">
      <c r="A155" s="2" t="inlineStr">
        <is>
          <t>50125-PTP-002</t>
        </is>
      </c>
      <c r="B155" s="2" t="inlineStr">
        <is>
          <t>PEX T-Piece Reduced Centre 25 x 16 x 25mm</t>
        </is>
      </c>
      <c r="C155" s="3" t="inlineStr">
        <is>
          <t>each</t>
        </is>
      </c>
      <c r="D155" s="4" t="n">
        <v>6</v>
      </c>
      <c r="E155" s="4" t="n"/>
      <c r="F155" s="2">
        <f>IFERROR(D155*E155,"")</f>
        <v/>
      </c>
      <c r="G155" s="3" t="inlineStr">
        <is>
          <t>High</t>
        </is>
      </c>
      <c r="H155" s="3" t="inlineStr">
        <is>
          <t>Approved BOQ</t>
        </is>
      </c>
      <c r="I155" s="2" t="inlineStr">
        <is>
          <t>Baseline standard-house quantity</t>
        </is>
      </c>
    </row>
    <row r="156">
      <c r="A156" s="2" t="inlineStr">
        <is>
          <t>50111-SCC-003</t>
        </is>
      </c>
      <c r="B156" s="2" t="inlineStr">
        <is>
          <t>PEX T-Piece Reduced Center 25 x 20 x 25mm</t>
        </is>
      </c>
      <c r="C156" s="3" t="inlineStr">
        <is>
          <t>each</t>
        </is>
      </c>
      <c r="D156" s="4" t="n">
        <v>2</v>
      </c>
      <c r="E156" s="4" t="n"/>
      <c r="F156" s="2">
        <f>IFERROR(D156*E156,"")</f>
        <v/>
      </c>
      <c r="G156" s="3" t="inlineStr">
        <is>
          <t>High</t>
        </is>
      </c>
      <c r="H156" s="3" t="inlineStr">
        <is>
          <t>Approved BOQ</t>
        </is>
      </c>
      <c r="I156" s="2" t="inlineStr">
        <is>
          <t>Baseline standard-house quantity</t>
        </is>
      </c>
    </row>
    <row r="157">
      <c r="A157" s="2" t="inlineStr">
        <is>
          <t>50125-PVT-003</t>
        </is>
      </c>
      <c r="B157" s="2" t="inlineStr">
        <is>
          <t>PEX Tee 25mm</t>
        </is>
      </c>
      <c r="C157" s="3" t="inlineStr">
        <is>
          <t>each</t>
        </is>
      </c>
      <c r="D157" s="4" t="n">
        <v>6</v>
      </c>
      <c r="E157" s="4" t="n"/>
      <c r="F157" s="2">
        <f>IFERROR(D157*E157,"")</f>
        <v/>
      </c>
      <c r="G157" s="3" t="inlineStr">
        <is>
          <t>High</t>
        </is>
      </c>
      <c r="H157" s="3" t="inlineStr">
        <is>
          <t>Approved BOQ</t>
        </is>
      </c>
      <c r="I157" s="2" t="inlineStr">
        <is>
          <t>Baseline standard-house quantity</t>
        </is>
      </c>
    </row>
    <row r="158">
      <c r="A158" s="2" t="inlineStr">
        <is>
          <t>50125-ESP-001</t>
        </is>
      </c>
      <c r="B158" s="2" t="inlineStr">
        <is>
          <t>PEX Stopper Pipe End Plug 16mm</t>
        </is>
      </c>
      <c r="C158" s="3" t="inlineStr">
        <is>
          <t>each</t>
        </is>
      </c>
      <c r="D158" s="4" t="n">
        <v>2</v>
      </c>
      <c r="E158" s="4" t="n"/>
      <c r="F158" s="2">
        <f>IFERROR(D158*E158,"")</f>
        <v/>
      </c>
      <c r="G158" s="3" t="inlineStr">
        <is>
          <t>High</t>
        </is>
      </c>
      <c r="H158" s="3" t="inlineStr">
        <is>
          <t>Approved BOQ</t>
        </is>
      </c>
      <c r="I158" s="2" t="inlineStr">
        <is>
          <t>Baseline standard-house quantity</t>
        </is>
      </c>
    </row>
    <row r="159">
      <c r="A159" s="2" t="inlineStr">
        <is>
          <t>50125-ESP-002</t>
        </is>
      </c>
      <c r="B159" s="2" t="inlineStr">
        <is>
          <t>PEX Stopper Pipe End Plug 25mm</t>
        </is>
      </c>
      <c r="C159" s="3" t="inlineStr">
        <is>
          <t>each</t>
        </is>
      </c>
      <c r="D159" s="4" t="n">
        <v>2</v>
      </c>
      <c r="E159" s="4" t="n"/>
      <c r="F159" s="2">
        <f>IFERROR(D159*E159,"")</f>
        <v/>
      </c>
      <c r="G159" s="3" t="inlineStr">
        <is>
          <t>High</t>
        </is>
      </c>
      <c r="H159" s="3" t="inlineStr">
        <is>
          <t>Approved BOQ</t>
        </is>
      </c>
      <c r="I159" s="2" t="inlineStr">
        <is>
          <t>Baseline standard-house quantity</t>
        </is>
      </c>
    </row>
    <row r="160">
      <c r="A160" s="2" t="inlineStr">
        <is>
          <t>50125-SCA-001</t>
        </is>
      </c>
      <c r="B160" s="2" t="inlineStr">
        <is>
          <t>Shower Assembly 8" Right Angle</t>
        </is>
      </c>
      <c r="C160" s="3" t="inlineStr">
        <is>
          <t>each</t>
        </is>
      </c>
      <c r="D160" s="4" t="n">
        <v>1</v>
      </c>
      <c r="E160" s="4" t="n"/>
      <c r="F160" s="2">
        <f>IFERROR(D160*E160,"")</f>
        <v/>
      </c>
      <c r="G160" s="3" t="inlineStr">
        <is>
          <t>High</t>
        </is>
      </c>
      <c r="H160" s="3" t="inlineStr">
        <is>
          <t>Approved BOQ</t>
        </is>
      </c>
      <c r="I160" s="2" t="inlineStr">
        <is>
          <t>Baseline standard-house quantity</t>
        </is>
      </c>
    </row>
    <row r="161" ht="18" customHeight="1" s="15">
      <c r="A161" s="2" t="inlineStr">
        <is>
          <t>50129-CCO-001</t>
        </is>
      </c>
      <c r="B161" s="2" t="inlineStr">
        <is>
          <t>Cistern Cock 16mm</t>
        </is>
      </c>
      <c r="C161" s="3" t="inlineStr">
        <is>
          <t>each</t>
        </is>
      </c>
      <c r="D161" s="4" t="n">
        <v>6</v>
      </c>
      <c r="E161" s="4" t="n"/>
      <c r="F161" s="2">
        <f>IFERROR(D161*E161,"")</f>
        <v/>
      </c>
      <c r="G161" s="3" t="inlineStr">
        <is>
          <t>High</t>
        </is>
      </c>
      <c r="H161" s="3" t="inlineStr">
        <is>
          <t>Approved BOQ</t>
        </is>
      </c>
      <c r="I161" s="2" t="inlineStr">
        <is>
          <t>Baseline standard-house quantity</t>
        </is>
      </c>
    </row>
    <row r="162">
      <c r="A162" s="2" t="inlineStr">
        <is>
          <t>50129-CCO-002</t>
        </is>
      </c>
      <c r="B162" s="2" t="inlineStr">
        <is>
          <t>Wall Plate 16mm</t>
        </is>
      </c>
      <c r="C162" s="3" t="inlineStr">
        <is>
          <t>each</t>
        </is>
      </c>
      <c r="D162" s="4" t="n">
        <v>8</v>
      </c>
      <c r="E162" s="4" t="n"/>
      <c r="F162" s="2">
        <f>IFERROR(D162*E162,"")</f>
        <v/>
      </c>
      <c r="G162" s="3" t="inlineStr">
        <is>
          <t>High</t>
        </is>
      </c>
      <c r="H162" s="3" t="inlineStr">
        <is>
          <t>Approved BOQ</t>
        </is>
      </c>
      <c r="I162" s="2" t="inlineStr">
        <is>
          <t>Baseline standard-house quantity</t>
        </is>
      </c>
    </row>
    <row r="163">
      <c r="A163" s="2" t="inlineStr">
        <is>
          <t>50125-GVF-003</t>
        </is>
      </c>
      <c r="B163" s="2" t="inlineStr">
        <is>
          <t>Brass Gate Valve F/F 1/2" FI</t>
        </is>
      </c>
      <c r="C163" s="3" t="inlineStr">
        <is>
          <t>each</t>
        </is>
      </c>
      <c r="D163" s="4" t="n">
        <v>1</v>
      </c>
      <c r="E163" s="4" t="n"/>
      <c r="F163" s="2">
        <f>IFERROR(D163*E163,"")</f>
        <v/>
      </c>
      <c r="G163" s="3" t="inlineStr">
        <is>
          <t>High</t>
        </is>
      </c>
      <c r="H163" s="3" t="inlineStr">
        <is>
          <t>Approved BOQ</t>
        </is>
      </c>
      <c r="I163" s="2" t="inlineStr">
        <is>
          <t>Baseline standard-house quantity</t>
        </is>
      </c>
    </row>
    <row r="164">
      <c r="A164" s="2" t="inlineStr">
        <is>
          <t>50125-GVF-002</t>
        </is>
      </c>
      <c r="B164" s="2" t="inlineStr">
        <is>
          <t>Brass Gate Valve F/F 1" FI</t>
        </is>
      </c>
      <c r="C164" s="3" t="inlineStr">
        <is>
          <t>each</t>
        </is>
      </c>
      <c r="D164" s="4" t="n">
        <v>2</v>
      </c>
      <c r="E164" s="4" t="n"/>
      <c r="F164" s="2">
        <f>IFERROR(D164*E164,"")</f>
        <v/>
      </c>
      <c r="G164" s="3" t="inlineStr">
        <is>
          <t>High</t>
        </is>
      </c>
      <c r="H164" s="3" t="inlineStr">
        <is>
          <t>Approved BOQ</t>
        </is>
      </c>
      <c r="I164" s="2" t="inlineStr">
        <is>
          <t>Baseline standard-house quantity</t>
        </is>
      </c>
    </row>
    <row r="165">
      <c r="A165" s="2" t="inlineStr">
        <is>
          <t>50125-GVF-001</t>
        </is>
      </c>
      <c r="B165" s="2" t="inlineStr">
        <is>
          <t>Brass Gate Valve F/F 3/4" FI</t>
        </is>
      </c>
      <c r="C165" s="3" t="inlineStr">
        <is>
          <t>each</t>
        </is>
      </c>
      <c r="D165" s="4" t="n">
        <v>1</v>
      </c>
      <c r="E165" s="4" t="n"/>
      <c r="F165" s="2">
        <f>IFERROR(D165*E165,"")</f>
        <v/>
      </c>
      <c r="G165" s="3" t="inlineStr">
        <is>
          <t>High</t>
        </is>
      </c>
      <c r="H165" s="3" t="inlineStr">
        <is>
          <t>Approved BOQ</t>
        </is>
      </c>
      <c r="I165" s="2" t="inlineStr">
        <is>
          <t>Baseline standard-house quantity</t>
        </is>
      </c>
    </row>
    <row r="166">
      <c r="A166" s="2" t="inlineStr">
        <is>
          <t>50125-TNM-004</t>
        </is>
      </c>
      <c r="B166" s="2" t="inlineStr">
        <is>
          <t>Brass Threaded Nipple Male 1" MI</t>
        </is>
      </c>
      <c r="C166" s="3" t="inlineStr">
        <is>
          <t>each</t>
        </is>
      </c>
      <c r="D166" s="4" t="n">
        <v>2</v>
      </c>
      <c r="E166" s="4" t="n"/>
      <c r="F166" s="2">
        <f>IFERROR(D166*E166,"")</f>
        <v/>
      </c>
      <c r="G166" s="3" t="inlineStr">
        <is>
          <t>High</t>
        </is>
      </c>
      <c r="H166" s="3" t="inlineStr">
        <is>
          <t>Approved BOQ</t>
        </is>
      </c>
      <c r="I166" s="2" t="inlineStr">
        <is>
          <t>Baseline standard-house quantity</t>
        </is>
      </c>
    </row>
    <row r="167" ht="18" customHeight="1" s="15">
      <c r="A167" s="2" t="inlineStr">
        <is>
          <t>50125-TNM-001</t>
        </is>
      </c>
      <c r="B167" s="2" t="inlineStr">
        <is>
          <t>Brass Threaded Nipple Male 1/2" MI</t>
        </is>
      </c>
      <c r="C167" s="3" t="inlineStr">
        <is>
          <t>each</t>
        </is>
      </c>
      <c r="D167" s="4" t="n">
        <v>1</v>
      </c>
      <c r="E167" s="4" t="n"/>
      <c r="F167" s="2">
        <f>IFERROR(D167*E167,"")</f>
        <v/>
      </c>
      <c r="G167" s="3" t="inlineStr">
        <is>
          <t>High</t>
        </is>
      </c>
      <c r="H167" s="3" t="inlineStr">
        <is>
          <t>Approved BOQ</t>
        </is>
      </c>
      <c r="I167" s="2" t="inlineStr">
        <is>
          <t>Baseline standard-house quantity</t>
        </is>
      </c>
    </row>
    <row r="168">
      <c r="A168" s="2" t="inlineStr">
        <is>
          <t>50125-TNM-002</t>
        </is>
      </c>
      <c r="B168" s="2" t="inlineStr">
        <is>
          <t>Brass Threaded Nipple Male 3/4" MI</t>
        </is>
      </c>
      <c r="C168" s="3" t="inlineStr">
        <is>
          <t>each</t>
        </is>
      </c>
      <c r="D168" s="4" t="n">
        <v>4</v>
      </c>
      <c r="E168" s="4" t="n"/>
      <c r="F168" s="2">
        <f>IFERROR(D168*E168,"")</f>
        <v/>
      </c>
      <c r="G168" s="3" t="inlineStr">
        <is>
          <t>High</t>
        </is>
      </c>
      <c r="H168" s="3" t="inlineStr">
        <is>
          <t>Approved BOQ</t>
        </is>
      </c>
      <c r="I168" s="2" t="inlineStr">
        <is>
          <t>Baseline standard-house quantity</t>
        </is>
      </c>
    </row>
    <row r="169">
      <c r="A169" s="2" t="inlineStr">
        <is>
          <t>50125-SCV-003</t>
        </is>
      </c>
      <c r="B169" s="2" t="inlineStr">
        <is>
          <t>Brass Swing Check Valve 1/2"</t>
        </is>
      </c>
      <c r="C169" s="3" t="inlineStr">
        <is>
          <t>each</t>
        </is>
      </c>
      <c r="D169" s="4" t="n">
        <v>1</v>
      </c>
      <c r="E169" s="4" t="n"/>
      <c r="F169" s="2">
        <f>IFERROR(D169*E169,"")</f>
        <v/>
      </c>
      <c r="G169" s="3" t="inlineStr">
        <is>
          <t>High</t>
        </is>
      </c>
      <c r="H169" s="3" t="inlineStr">
        <is>
          <t>Approved BOQ</t>
        </is>
      </c>
      <c r="I169" s="2" t="inlineStr">
        <is>
          <t>Baseline standard-house quantity</t>
        </is>
      </c>
    </row>
    <row r="170">
      <c r="A170" s="2" t="inlineStr">
        <is>
          <t>50125-SCV-002</t>
        </is>
      </c>
      <c r="B170" s="2" t="inlineStr">
        <is>
          <t>Brass Swing Check Valve 1"</t>
        </is>
      </c>
      <c r="C170" s="3" t="inlineStr">
        <is>
          <t>each</t>
        </is>
      </c>
      <c r="D170" s="4" t="n">
        <v>2</v>
      </c>
      <c r="E170" s="4" t="n"/>
      <c r="F170" s="2">
        <f>IFERROR(D170*E170,"")</f>
        <v/>
      </c>
      <c r="G170" s="3" t="inlineStr">
        <is>
          <t>High</t>
        </is>
      </c>
      <c r="H170" s="3" t="inlineStr">
        <is>
          <t>Approved BOQ</t>
        </is>
      </c>
      <c r="I170" s="2" t="inlineStr">
        <is>
          <t>Baseline standard-house quantity</t>
        </is>
      </c>
    </row>
    <row r="171">
      <c r="A171" s="2" t="inlineStr">
        <is>
          <t>50125-SCV-001</t>
        </is>
      </c>
      <c r="B171" s="2" t="inlineStr">
        <is>
          <t>Brass Swing Check Valve 3/4"</t>
        </is>
      </c>
      <c r="C171" s="3" t="inlineStr">
        <is>
          <t>each</t>
        </is>
      </c>
      <c r="D171" s="4" t="n">
        <v>1</v>
      </c>
      <c r="E171" s="4" t="n"/>
      <c r="F171" s="2">
        <f>IFERROR(D171*E171,"")</f>
        <v/>
      </c>
      <c r="G171" s="3" t="inlineStr">
        <is>
          <t>High</t>
        </is>
      </c>
      <c r="H171" s="3" t="inlineStr">
        <is>
          <t>Approved BOQ</t>
        </is>
      </c>
      <c r="I171" s="2" t="inlineStr">
        <is>
          <t>Baseline standard-house quantity</t>
        </is>
      </c>
    </row>
    <row r="172">
      <c r="A172" s="2" t="inlineStr">
        <is>
          <t>50125-PPX-001</t>
        </is>
      </c>
      <c r="B172" s="2" t="inlineStr">
        <is>
          <t>PEX Pipe 16mm</t>
        </is>
      </c>
      <c r="C172" s="3" t="inlineStr">
        <is>
          <t>m</t>
        </is>
      </c>
      <c r="D172" s="4" t="n">
        <v>10</v>
      </c>
      <c r="E172" s="4" t="n"/>
      <c r="F172" s="2">
        <f>IFERROR(D172*E172,"")</f>
        <v/>
      </c>
      <c r="G172" s="3" t="inlineStr">
        <is>
          <t>High</t>
        </is>
      </c>
      <c r="H172" s="3" t="inlineStr">
        <is>
          <t>Approved BOQ</t>
        </is>
      </c>
      <c r="I172" s="2" t="inlineStr">
        <is>
          <t>Baseline standard-house quantity</t>
        </is>
      </c>
    </row>
    <row r="173">
      <c r="A173" s="2" t="inlineStr">
        <is>
          <t>50125-PPX-003</t>
        </is>
      </c>
      <c r="B173" s="2" t="inlineStr">
        <is>
          <t>PEX Pipe 20mm</t>
        </is>
      </c>
      <c r="C173" s="3" t="inlineStr">
        <is>
          <t>m</t>
        </is>
      </c>
      <c r="D173" s="4" t="n">
        <v>8</v>
      </c>
      <c r="E173" s="4" t="n"/>
      <c r="F173" s="2">
        <f>IFERROR(D173*E173,"")</f>
        <v/>
      </c>
      <c r="G173" s="3" t="inlineStr">
        <is>
          <t>High</t>
        </is>
      </c>
      <c r="H173" s="3" t="inlineStr">
        <is>
          <t>Approved BOQ</t>
        </is>
      </c>
      <c r="I173" s="2" t="inlineStr">
        <is>
          <t>Baseline standard-house quantity</t>
        </is>
      </c>
    </row>
    <row r="174">
      <c r="A174" s="2" t="inlineStr">
        <is>
          <t>50125-PPX-002</t>
        </is>
      </c>
      <c r="B174" s="2" t="inlineStr">
        <is>
          <t>PEX Pipe 25mm</t>
        </is>
      </c>
      <c r="C174" s="3" t="inlineStr">
        <is>
          <t>m</t>
        </is>
      </c>
      <c r="D174" s="4" t="n">
        <v>50</v>
      </c>
      <c r="E174" s="4" t="n"/>
      <c r="F174" s="2">
        <f>IFERROR(D174*E174,"")</f>
        <v/>
      </c>
      <c r="G174" s="3" t="inlineStr">
        <is>
          <t>High</t>
        </is>
      </c>
      <c r="H174" s="3" t="inlineStr">
        <is>
          <t>Approved BOQ</t>
        </is>
      </c>
      <c r="I174" s="2" t="inlineStr">
        <is>
          <t>Baseline standard-house quantity</t>
        </is>
      </c>
    </row>
    <row r="175">
      <c r="A175" s="2" t="inlineStr">
        <is>
          <t>50125-SAC-002</t>
        </is>
      </c>
      <c r="B175" s="2" t="inlineStr">
        <is>
          <t>Saddle Clip 25mm</t>
        </is>
      </c>
      <c r="C175" s="3" t="inlineStr">
        <is>
          <t>each</t>
        </is>
      </c>
      <c r="D175" s="4" t="n">
        <v>15</v>
      </c>
      <c r="E175" s="4" t="n"/>
      <c r="F175" s="2">
        <f>IFERROR(D175*E175,"")</f>
        <v/>
      </c>
      <c r="G175" s="3" t="inlineStr">
        <is>
          <t>High</t>
        </is>
      </c>
      <c r="H175" s="3" t="inlineStr">
        <is>
          <t>Approved BOQ</t>
        </is>
      </c>
      <c r="I175" s="2" t="inlineStr">
        <is>
          <t>Baseline standard-house quantity</t>
        </is>
      </c>
    </row>
    <row r="176">
      <c r="A176" s="2" t="inlineStr">
        <is>
          <t>50125-SAC-001</t>
        </is>
      </c>
      <c r="B176" s="2" t="inlineStr">
        <is>
          <t>Sadde Clip 16mm</t>
        </is>
      </c>
      <c r="C176" s="3" t="inlineStr">
        <is>
          <t>each</t>
        </is>
      </c>
      <c r="D176" s="4" t="n">
        <v>20</v>
      </c>
      <c r="E176" s="4" t="n"/>
      <c r="F176" s="2">
        <f>IFERROR(D176*E176,"")</f>
        <v/>
      </c>
      <c r="G176" s="3" t="inlineStr">
        <is>
          <t>High</t>
        </is>
      </c>
      <c r="H176" s="3" t="inlineStr">
        <is>
          <t>Approved BOQ</t>
        </is>
      </c>
      <c r="I176" s="2" t="inlineStr">
        <is>
          <t>Baseline standard-house quantity</t>
        </is>
      </c>
    </row>
    <row r="177" ht="22.05" customHeight="1" s="15">
      <c r="A177" s="2" t="inlineStr">
        <is>
          <t>50125-SFG-002</t>
        </is>
      </c>
      <c r="B177" s="2" t="inlineStr">
        <is>
          <t>SS Floor Grate 100mm</t>
        </is>
      </c>
      <c r="C177" s="3" t="inlineStr">
        <is>
          <t>each</t>
        </is>
      </c>
      <c r="D177" s="4" t="n">
        <v>2</v>
      </c>
      <c r="E177" s="4" t="n"/>
      <c r="F177" s="2">
        <f>IFERROR(D177*E177,"")</f>
        <v/>
      </c>
      <c r="G177" s="3" t="inlineStr">
        <is>
          <t>High</t>
        </is>
      </c>
      <c r="H177" s="3" t="inlineStr">
        <is>
          <t>Approved BOQ</t>
        </is>
      </c>
      <c r="I177" s="2" t="inlineStr">
        <is>
          <t>Baseline standard-house quantity</t>
        </is>
      </c>
    </row>
    <row r="178">
      <c r="A178" s="2" t="inlineStr">
        <is>
          <t>50125-FHO-001</t>
        </is>
      </c>
      <c r="B178" s="2" t="inlineStr">
        <is>
          <t>Flexible Hose 1/2"F x 1/2"F x 400mm</t>
        </is>
      </c>
      <c r="C178" s="3" t="inlineStr">
        <is>
          <t>each</t>
        </is>
      </c>
      <c r="D178" s="4" t="n">
        <v>3</v>
      </c>
      <c r="E178" s="4" t="n"/>
      <c r="F178" s="2">
        <f>IFERROR(D178*E178,"")</f>
        <v/>
      </c>
      <c r="G178" s="3" t="inlineStr">
        <is>
          <t>High</t>
        </is>
      </c>
      <c r="H178" s="3" t="inlineStr">
        <is>
          <t>Approved BOQ</t>
        </is>
      </c>
      <c r="I178" s="2" t="inlineStr">
        <is>
          <t>Baseline standard-house quantity</t>
        </is>
      </c>
    </row>
    <row r="179">
      <c r="A179" s="2" t="inlineStr">
        <is>
          <t>50112-DWP-003</t>
        </is>
      </c>
      <c r="B179" s="2" t="inlineStr">
        <is>
          <t>PVC Pipe 100mm x 5800mm</t>
        </is>
      </c>
      <c r="C179" s="3" t="inlineStr">
        <is>
          <t>len</t>
        </is>
      </c>
      <c r="D179" s="4" t="n">
        <v>8</v>
      </c>
      <c r="E179" s="4" t="n"/>
      <c r="F179" s="2">
        <f>IFERROR(D179*E179,"")</f>
        <v/>
      </c>
      <c r="G179" s="3" t="inlineStr">
        <is>
          <t>High</t>
        </is>
      </c>
      <c r="H179" s="3" t="inlineStr">
        <is>
          <t>Approved BOQ</t>
        </is>
      </c>
      <c r="I179" s="2" t="inlineStr">
        <is>
          <t>Baseline standard-house quantity</t>
        </is>
      </c>
    </row>
    <row r="180">
      <c r="A180" s="2" t="inlineStr">
        <is>
          <t>50112-DWP-006</t>
        </is>
      </c>
      <c r="B180" s="2" t="inlineStr">
        <is>
          <t>PVC Pipe 65mm x 5800mm</t>
        </is>
      </c>
      <c r="C180" s="3" t="inlineStr">
        <is>
          <t>len</t>
        </is>
      </c>
      <c r="D180" s="4" t="n">
        <v>6</v>
      </c>
      <c r="E180" s="4" t="n"/>
      <c r="F180" s="2">
        <f>IFERROR(D180*E180,"")</f>
        <v/>
      </c>
      <c r="G180" s="3" t="inlineStr">
        <is>
          <t>High</t>
        </is>
      </c>
      <c r="H180" s="3" t="inlineStr">
        <is>
          <t>Approved BOQ</t>
        </is>
      </c>
      <c r="I180" s="2" t="inlineStr">
        <is>
          <t>Baseline standard-house quantity</t>
        </is>
      </c>
    </row>
    <row r="181">
      <c r="A181" s="2" t="inlineStr">
        <is>
          <t>50112-DWP-002</t>
        </is>
      </c>
      <c r="B181" s="2" t="inlineStr">
        <is>
          <t>PVC Pipe 50mm x 5800mm</t>
        </is>
      </c>
      <c r="C181" s="3" t="inlineStr">
        <is>
          <t>len</t>
        </is>
      </c>
      <c r="D181" s="4" t="n">
        <v>3</v>
      </c>
      <c r="E181" s="4" t="n"/>
      <c r="F181" s="2">
        <f>IFERROR(D181*E181,"")</f>
        <v/>
      </c>
      <c r="G181" s="3" t="inlineStr">
        <is>
          <t>High</t>
        </is>
      </c>
      <c r="H181" s="3" t="inlineStr">
        <is>
          <t>Approved BOQ</t>
        </is>
      </c>
      <c r="I181" s="2" t="inlineStr">
        <is>
          <t>Baseline standard-house quantity</t>
        </is>
      </c>
    </row>
    <row r="182">
      <c r="A182" s="2" t="inlineStr">
        <is>
          <t>50112-DWP-001</t>
        </is>
      </c>
      <c r="B182" s="2" t="inlineStr">
        <is>
          <t>PVC Pipe 40mm x 5800mm</t>
        </is>
      </c>
      <c r="C182" s="3" t="inlineStr">
        <is>
          <t>len</t>
        </is>
      </c>
      <c r="D182" s="4" t="n">
        <v>1</v>
      </c>
      <c r="E182" s="4" t="n"/>
      <c r="F182" s="2">
        <f>IFERROR(D182*E182,"")</f>
        <v/>
      </c>
      <c r="G182" s="3" t="inlineStr">
        <is>
          <t>High</t>
        </is>
      </c>
      <c r="H182" s="3" t="inlineStr">
        <is>
          <t>Approved BOQ</t>
        </is>
      </c>
      <c r="I182" s="2" t="inlineStr">
        <is>
          <t>Baseline standard-house quantity</t>
        </is>
      </c>
    </row>
    <row r="183">
      <c r="A183" s="2" t="inlineStr">
        <is>
          <t>50125-PRS-011</t>
        </is>
      </c>
      <c r="B183" s="2" t="inlineStr">
        <is>
          <t>PVC Straigth Coupling 100mm</t>
        </is>
      </c>
      <c r="C183" s="3" t="inlineStr">
        <is>
          <t>each</t>
        </is>
      </c>
      <c r="D183" s="4" t="n">
        <v>2</v>
      </c>
      <c r="E183" s="4" t="n"/>
      <c r="F183" s="2">
        <f>IFERROR(D183*E183,"")</f>
        <v/>
      </c>
      <c r="G183" s="3" t="inlineStr">
        <is>
          <t>High</t>
        </is>
      </c>
      <c r="H183" s="3" t="inlineStr">
        <is>
          <t>Approved BOQ</t>
        </is>
      </c>
      <c r="I183" s="2" t="inlineStr">
        <is>
          <t>Baseline standard-house quantity</t>
        </is>
      </c>
    </row>
    <row r="184">
      <c r="A184" s="2" t="inlineStr">
        <is>
          <t>50125-PRS-014</t>
        </is>
      </c>
      <c r="B184" s="2" t="inlineStr">
        <is>
          <t>PVC Straigth Coupling 50mm</t>
        </is>
      </c>
      <c r="C184" s="3" t="inlineStr">
        <is>
          <t>each</t>
        </is>
      </c>
      <c r="D184" s="4" t="n">
        <v>2</v>
      </c>
      <c r="E184" s="4" t="n"/>
      <c r="F184" s="2">
        <f>IFERROR(D184*E184,"")</f>
        <v/>
      </c>
      <c r="G184" s="3" t="inlineStr">
        <is>
          <t>High</t>
        </is>
      </c>
      <c r="H184" s="3" t="inlineStr">
        <is>
          <t>Approved BOQ</t>
        </is>
      </c>
      <c r="I184" s="2" t="inlineStr">
        <is>
          <t>Baseline standard-house quantity</t>
        </is>
      </c>
    </row>
    <row r="185">
      <c r="A185" s="2" t="inlineStr">
        <is>
          <t>50125-RCC-004</t>
        </is>
      </c>
      <c r="B185" s="2" t="inlineStr">
        <is>
          <t>PVC Reducing Coupling 65x50mm</t>
        </is>
      </c>
      <c r="C185" s="3" t="inlineStr">
        <is>
          <t>each</t>
        </is>
      </c>
      <c r="D185" s="4" t="n">
        <v>3</v>
      </c>
      <c r="E185" s="4" t="n"/>
      <c r="F185" s="2">
        <f>IFERROR(D185*E185,"")</f>
        <v/>
      </c>
      <c r="G185" s="3" t="inlineStr">
        <is>
          <t>High</t>
        </is>
      </c>
      <c r="H185" s="3" t="inlineStr">
        <is>
          <t>Approved BOQ</t>
        </is>
      </c>
      <c r="I185" s="2" t="inlineStr">
        <is>
          <t>Baseline standard-house quantity</t>
        </is>
      </c>
    </row>
    <row r="186">
      <c r="A186" s="2" t="inlineStr">
        <is>
          <t>50125-RCS-001</t>
        </is>
      </c>
      <c r="B186" s="2" t="inlineStr">
        <is>
          <t>PVC Reducing Socket 100x65mm</t>
        </is>
      </c>
      <c r="C186" s="3" t="inlineStr">
        <is>
          <t>each</t>
        </is>
      </c>
      <c r="D186" s="4" t="n">
        <v>3</v>
      </c>
      <c r="E186" s="4" t="n"/>
      <c r="F186" s="2">
        <f>IFERROR(D186*E186,"")</f>
        <v/>
      </c>
      <c r="G186" s="3" t="inlineStr">
        <is>
          <t>High</t>
        </is>
      </c>
      <c r="H186" s="3" t="inlineStr">
        <is>
          <t>Approved BOQ</t>
        </is>
      </c>
      <c r="I186" s="2" t="inlineStr">
        <is>
          <t>Baseline standard-house quantity</t>
        </is>
      </c>
    </row>
    <row r="187">
      <c r="A187" s="2" t="inlineStr">
        <is>
          <t>50125-PSJ-001</t>
        </is>
      </c>
      <c r="B187" s="2" t="inlineStr">
        <is>
          <t>PVC Sweep Junction 100mm x 88degree</t>
        </is>
      </c>
      <c r="C187" s="3" t="inlineStr">
        <is>
          <t>each</t>
        </is>
      </c>
      <c r="D187" s="4" t="n">
        <v>4</v>
      </c>
      <c r="E187" s="4" t="n"/>
      <c r="F187" s="2">
        <f>IFERROR(D187*E187,"")</f>
        <v/>
      </c>
      <c r="G187" s="3" t="inlineStr">
        <is>
          <t>High</t>
        </is>
      </c>
      <c r="H187" s="3" t="inlineStr">
        <is>
          <t>Approved BOQ</t>
        </is>
      </c>
      <c r="I187" s="2" t="inlineStr">
        <is>
          <t>Baseline standard-house quantity</t>
        </is>
      </c>
    </row>
    <row r="188">
      <c r="A188" s="2" t="inlineStr">
        <is>
          <t>50125-PSJ-002</t>
        </is>
      </c>
      <c r="B188" s="2" t="inlineStr">
        <is>
          <t>PVC Sweep Junction 100mm x 45degree</t>
        </is>
      </c>
      <c r="C188" s="3" t="inlineStr">
        <is>
          <t>each</t>
        </is>
      </c>
      <c r="D188" s="4" t="n">
        <v>4</v>
      </c>
      <c r="E188" s="4" t="n"/>
      <c r="F188" s="2">
        <f>IFERROR(D188*E188,"")</f>
        <v/>
      </c>
      <c r="G188" s="3" t="inlineStr">
        <is>
          <t>High</t>
        </is>
      </c>
      <c r="H188" s="3" t="inlineStr">
        <is>
          <t>Approved BOQ</t>
        </is>
      </c>
      <c r="I188" s="2" t="inlineStr">
        <is>
          <t>Baseline standard-house quantity</t>
        </is>
      </c>
    </row>
    <row r="189">
      <c r="A189" s="2" t="inlineStr">
        <is>
          <t>50125-PLB-013</t>
        </is>
      </c>
      <c r="B189" s="2" t="inlineStr">
        <is>
          <t>PVC Plain Bend 100mm x 88degree</t>
        </is>
      </c>
      <c r="C189" s="3" t="inlineStr">
        <is>
          <t>each</t>
        </is>
      </c>
      <c r="D189" s="4" t="n">
        <v>8</v>
      </c>
      <c r="E189" s="4" t="n"/>
      <c r="F189" s="2">
        <f>IFERROR(D189*E189,"")</f>
        <v/>
      </c>
      <c r="G189" s="3" t="inlineStr">
        <is>
          <t>High</t>
        </is>
      </c>
      <c r="H189" s="3" t="inlineStr">
        <is>
          <t>Approved BOQ</t>
        </is>
      </c>
      <c r="I189" s="2" t="inlineStr">
        <is>
          <t>Baseline standard-house quantity</t>
        </is>
      </c>
    </row>
    <row r="190">
      <c r="A190" s="2" t="inlineStr">
        <is>
          <t>50125-PLB-007</t>
        </is>
      </c>
      <c r="B190" s="2" t="inlineStr">
        <is>
          <t>PVC Cross Tee 100mmx45Deg</t>
        </is>
      </c>
      <c r="C190" s="3" t="inlineStr">
        <is>
          <t>each</t>
        </is>
      </c>
      <c r="D190" s="4" t="n">
        <v>1</v>
      </c>
      <c r="E190" s="4" t="n"/>
      <c r="F190" s="2">
        <f>IFERROR(D190*E190,"")</f>
        <v/>
      </c>
      <c r="G190" s="3" t="inlineStr">
        <is>
          <t>High</t>
        </is>
      </c>
      <c r="H190" s="3" t="inlineStr">
        <is>
          <t>Approved BOQ</t>
        </is>
      </c>
      <c r="I190" s="2" t="inlineStr">
        <is>
          <t>Baseline standard-house quantity</t>
        </is>
      </c>
    </row>
    <row r="191">
      <c r="A191" s="2" t="inlineStr">
        <is>
          <t>50125-PLB-012</t>
        </is>
      </c>
      <c r="B191" s="2" t="inlineStr">
        <is>
          <t>PVC Plain Bend 65mm x 88degree</t>
        </is>
      </c>
      <c r="C191" s="3" t="inlineStr">
        <is>
          <t>each</t>
        </is>
      </c>
      <c r="D191" s="4" t="n">
        <v>3</v>
      </c>
      <c r="E191" s="4" t="n"/>
      <c r="F191" s="2">
        <f>IFERROR(D191*E191,"")</f>
        <v/>
      </c>
      <c r="G191" s="3" t="inlineStr">
        <is>
          <t>High</t>
        </is>
      </c>
      <c r="H191" s="3" t="inlineStr">
        <is>
          <t>Approved BOQ</t>
        </is>
      </c>
      <c r="I191" s="2" t="inlineStr">
        <is>
          <t>Baseline standard-house quantity</t>
        </is>
      </c>
    </row>
    <row r="192">
      <c r="A192" s="2" t="inlineStr">
        <is>
          <t>50125-PLB-011</t>
        </is>
      </c>
      <c r="B192" s="2" t="inlineStr">
        <is>
          <t>PVC Plain Bend 50mm x 88degree</t>
        </is>
      </c>
      <c r="C192" s="3" t="inlineStr">
        <is>
          <t>each</t>
        </is>
      </c>
      <c r="D192" s="4" t="n">
        <v>6</v>
      </c>
      <c r="E192" s="4" t="n"/>
      <c r="F192" s="2">
        <f>IFERROR(D192*E192,"")</f>
        <v/>
      </c>
      <c r="G192" s="3" t="inlineStr">
        <is>
          <t>High</t>
        </is>
      </c>
      <c r="H192" s="3" t="inlineStr">
        <is>
          <t>Approved BOQ</t>
        </is>
      </c>
      <c r="I192" s="2" t="inlineStr">
        <is>
          <t>Baseline standard-house quantity</t>
        </is>
      </c>
    </row>
    <row r="193">
      <c r="A193" s="2" t="inlineStr">
        <is>
          <t>50125-PLB-010</t>
        </is>
      </c>
      <c r="B193" s="2" t="inlineStr">
        <is>
          <t>PVC Plain Bend 40mm x 88degree</t>
        </is>
      </c>
      <c r="C193" s="3" t="inlineStr">
        <is>
          <t>each</t>
        </is>
      </c>
      <c r="D193" s="4" t="n">
        <v>2</v>
      </c>
      <c r="E193" s="4" t="n"/>
      <c r="F193" s="2">
        <f>IFERROR(D193*E193,"")</f>
        <v/>
      </c>
      <c r="G193" s="3" t="inlineStr">
        <is>
          <t>High</t>
        </is>
      </c>
      <c r="H193" s="3" t="inlineStr">
        <is>
          <t>Approved BOQ</t>
        </is>
      </c>
      <c r="I193" s="2" t="inlineStr">
        <is>
          <t>Baseline standard-house quantity</t>
        </is>
      </c>
    </row>
    <row r="194">
      <c r="A194" s="2" t="inlineStr">
        <is>
          <t>50125-PVT-002</t>
        </is>
      </c>
      <c r="B194" s="2" t="inlineStr">
        <is>
          <t>PVC Tee 65mm</t>
        </is>
      </c>
      <c r="C194" s="3" t="inlineStr">
        <is>
          <t>each</t>
        </is>
      </c>
      <c r="D194" s="4" t="n">
        <v>1</v>
      </c>
      <c r="E194" s="4" t="n"/>
      <c r="F194" s="2">
        <f>IFERROR(D194*E194,"")</f>
        <v/>
      </c>
      <c r="G194" s="3" t="inlineStr">
        <is>
          <t>High</t>
        </is>
      </c>
      <c r="H194" s="3" t="inlineStr">
        <is>
          <t>Approved BOQ</t>
        </is>
      </c>
      <c r="I194" s="2" t="inlineStr">
        <is>
          <t>Baseline standard-house quantity</t>
        </is>
      </c>
    </row>
    <row r="195">
      <c r="A195" s="2" t="inlineStr">
        <is>
          <t>50125-PVT-001</t>
        </is>
      </c>
      <c r="B195" s="2" t="inlineStr">
        <is>
          <t>PVC Tee 50mm</t>
        </is>
      </c>
      <c r="C195" s="3" t="inlineStr">
        <is>
          <t>each</t>
        </is>
      </c>
      <c r="D195" s="4" t="n">
        <v>3</v>
      </c>
      <c r="E195" s="4" t="n"/>
      <c r="F195" s="2">
        <f>IFERROR(D195*E195,"")</f>
        <v/>
      </c>
      <c r="G195" s="3" t="inlineStr">
        <is>
          <t>High</t>
        </is>
      </c>
      <c r="H195" s="3" t="inlineStr">
        <is>
          <t>Approved BOQ</t>
        </is>
      </c>
      <c r="I195" s="2" t="inlineStr">
        <is>
          <t>Baseline standard-house quantity</t>
        </is>
      </c>
    </row>
    <row r="196">
      <c r="A196" s="2" t="inlineStr">
        <is>
          <t>50125-SHO-001</t>
        </is>
      </c>
      <c r="B196" s="2" t="inlineStr">
        <is>
          <t>PVC Plain Bend 50mm x 45degree</t>
        </is>
      </c>
      <c r="C196" s="3" t="inlineStr">
        <is>
          <t>each</t>
        </is>
      </c>
      <c r="D196" s="4" t="n">
        <v>4</v>
      </c>
      <c r="E196" s="4" t="n"/>
      <c r="F196" s="2">
        <f>IFERROR(D196*E196,"")</f>
        <v/>
      </c>
      <c r="G196" s="3" t="inlineStr">
        <is>
          <t>High</t>
        </is>
      </c>
      <c r="H196" s="3" t="inlineStr">
        <is>
          <t>Approved BOQ</t>
        </is>
      </c>
      <c r="I196" s="2" t="inlineStr">
        <is>
          <t>Baseline standard-house quantity</t>
        </is>
      </c>
    </row>
    <row r="197">
      <c r="A197" s="2" t="inlineStr">
        <is>
          <t>50125-PLB-026</t>
        </is>
      </c>
      <c r="B197" s="2" t="inlineStr">
        <is>
          <t>Inspection Opening 100mm</t>
        </is>
      </c>
      <c r="C197" s="3" t="inlineStr">
        <is>
          <t>each</t>
        </is>
      </c>
      <c r="D197" s="4" t="n">
        <v>4</v>
      </c>
      <c r="E197" s="4" t="n"/>
      <c r="F197" s="2">
        <f>IFERROR(D197*E197,"")</f>
        <v/>
      </c>
      <c r="G197" s="3" t="inlineStr">
        <is>
          <t>High</t>
        </is>
      </c>
      <c r="H197" s="3" t="inlineStr">
        <is>
          <t>Approved BOQ</t>
        </is>
      </c>
      <c r="I197" s="2" t="inlineStr">
        <is>
          <t>Baseline standard-house quantity</t>
        </is>
      </c>
    </row>
    <row r="198">
      <c r="A198" s="2" t="inlineStr">
        <is>
          <t>50125-FWG-004</t>
        </is>
      </c>
      <c r="B198" s="2" t="inlineStr">
        <is>
          <t>PVC Gully Trap 100mm x 100mm</t>
        </is>
      </c>
      <c r="C198" s="3" t="inlineStr">
        <is>
          <t>each</t>
        </is>
      </c>
      <c r="D198" s="4" t="n">
        <v>1</v>
      </c>
      <c r="E198" s="4" t="n"/>
      <c r="F198" s="2">
        <f>IFERROR(D198*E198,"")</f>
        <v/>
      </c>
      <c r="G198" s="3" t="inlineStr">
        <is>
          <t>High</t>
        </is>
      </c>
      <c r="H198" s="3" t="inlineStr">
        <is>
          <t>Approved BOQ</t>
        </is>
      </c>
      <c r="I198" s="2" t="inlineStr">
        <is>
          <t>Baseline standard-house quantity</t>
        </is>
      </c>
    </row>
    <row r="199">
      <c r="A199" s="2" t="inlineStr">
        <is>
          <t>50125-PLB-032</t>
        </is>
      </c>
      <c r="B199" s="2" t="inlineStr">
        <is>
          <t>PVC Double Bowl Sink Connector 50mm</t>
        </is>
      </c>
      <c r="C199" s="3" t="inlineStr">
        <is>
          <t>each</t>
        </is>
      </c>
      <c r="D199" s="4" t="n">
        <v>1</v>
      </c>
      <c r="E199" s="4" t="n"/>
      <c r="F199" s="2">
        <f>IFERROR(D199*E199,"")</f>
        <v/>
      </c>
      <c r="G199" s="3" t="inlineStr">
        <is>
          <t>High</t>
        </is>
      </c>
      <c r="H199" s="3" t="inlineStr">
        <is>
          <t>Approved BOQ</t>
        </is>
      </c>
      <c r="I199" s="2" t="inlineStr">
        <is>
          <t>Baseline standard-house quantity</t>
        </is>
      </c>
    </row>
    <row r="200">
      <c r="A200" s="2" t="inlineStr">
        <is>
          <t>50125-FWG-001</t>
        </is>
      </c>
      <c r="B200" s="2" t="inlineStr">
        <is>
          <t>PVC Floor Waste Gully 100mm x 65mm</t>
        </is>
      </c>
      <c r="C200" s="3" t="inlineStr">
        <is>
          <t>each</t>
        </is>
      </c>
      <c r="D200" s="4" t="n">
        <v>1</v>
      </c>
      <c r="E200" s="4" t="n"/>
      <c r="F200" s="2">
        <f>IFERROR(D200*E200,"")</f>
        <v/>
      </c>
      <c r="G200" s="3" t="inlineStr">
        <is>
          <t>High</t>
        </is>
      </c>
      <c r="H200" s="3" t="inlineStr">
        <is>
          <t>Approved BOQ</t>
        </is>
      </c>
      <c r="I200" s="2" t="inlineStr">
        <is>
          <t>Baseline standard-house quantity</t>
        </is>
      </c>
    </row>
    <row r="201">
      <c r="A201" s="2" t="inlineStr">
        <is>
          <t>50125-PVE-001</t>
        </is>
      </c>
      <c r="B201" s="2" t="inlineStr">
        <is>
          <t>PVC Vent Cowl 65mm</t>
        </is>
      </c>
      <c r="C201" s="3" t="inlineStr">
        <is>
          <t>each</t>
        </is>
      </c>
      <c r="D201" s="4" t="n">
        <v>1</v>
      </c>
      <c r="E201" s="4" t="n"/>
      <c r="F201" s="2">
        <f>IFERROR(D201*E201,"")</f>
        <v/>
      </c>
      <c r="G201" s="3" t="inlineStr">
        <is>
          <t>High</t>
        </is>
      </c>
      <c r="H201" s="3" t="inlineStr">
        <is>
          <t>Approved BOQ</t>
        </is>
      </c>
      <c r="I201" s="2" t="inlineStr">
        <is>
          <t>Baseline standard-house quantity</t>
        </is>
      </c>
    </row>
    <row r="202">
      <c r="A202" s="2" t="inlineStr">
        <is>
          <t>50125-PTC-003</t>
        </is>
      </c>
      <c r="B202" s="2" t="inlineStr">
        <is>
          <t>S&amp;P Trap Combination 50mm</t>
        </is>
      </c>
      <c r="C202" s="3" t="inlineStr">
        <is>
          <t>each</t>
        </is>
      </c>
      <c r="D202" s="4" t="n">
        <v>4</v>
      </c>
      <c r="E202" s="4" t="n"/>
      <c r="F202" s="2">
        <f>IFERROR(D202*E202,"")</f>
        <v/>
      </c>
      <c r="G202" s="3" t="inlineStr">
        <is>
          <t>High</t>
        </is>
      </c>
      <c r="H202" s="3" t="inlineStr">
        <is>
          <t>Approved BOQ</t>
        </is>
      </c>
      <c r="I202" s="2" t="inlineStr">
        <is>
          <t>Baseline standard-house quantity</t>
        </is>
      </c>
    </row>
    <row r="203">
      <c r="A203" s="2" t="inlineStr">
        <is>
          <t>50125-PTC-002</t>
        </is>
      </c>
      <c r="B203" s="2" t="inlineStr">
        <is>
          <t>S&amp;P Trap Combination 40mm</t>
        </is>
      </c>
      <c r="C203" s="3" t="inlineStr">
        <is>
          <t>each</t>
        </is>
      </c>
      <c r="D203" s="4" t="n">
        <v>1</v>
      </c>
      <c r="E203" s="4" t="n"/>
      <c r="F203" s="2">
        <f>IFERROR(D203*E203,"")</f>
        <v/>
      </c>
      <c r="G203" s="3" t="inlineStr">
        <is>
          <t>High</t>
        </is>
      </c>
      <c r="H203" s="3" t="inlineStr">
        <is>
          <t>Approved BOQ</t>
        </is>
      </c>
      <c r="I203" s="2" t="inlineStr">
        <is>
          <t>Baseline standard-house quantity</t>
        </is>
      </c>
    </row>
    <row r="204">
      <c r="A204" s="2" t="inlineStr">
        <is>
          <t>50125-PLB-008</t>
        </is>
      </c>
      <c r="B204" s="2" t="inlineStr">
        <is>
          <t>Four Way Riser 100 x 50 x 50 x 50 x 40mm</t>
        </is>
      </c>
      <c r="C204" s="3" t="inlineStr">
        <is>
          <t>each</t>
        </is>
      </c>
      <c r="D204" s="4" t="n">
        <v>2</v>
      </c>
      <c r="E204" s="4" t="n"/>
      <c r="F204" s="2">
        <f>IFERROR(D204*E204,"")</f>
        <v/>
      </c>
      <c r="G204" s="3" t="inlineStr">
        <is>
          <t>High</t>
        </is>
      </c>
      <c r="H204" s="3" t="inlineStr">
        <is>
          <t>Approved BOQ</t>
        </is>
      </c>
      <c r="I204" s="2" t="inlineStr">
        <is>
          <t>Baseline standard-house quantity</t>
        </is>
      </c>
    </row>
    <row r="205">
      <c r="A205" s="2" t="inlineStr">
        <is>
          <t>50125-PRS-015</t>
        </is>
      </c>
      <c r="B205" s="2" t="inlineStr">
        <is>
          <t>Dome Grate with Collar 100mm</t>
        </is>
      </c>
      <c r="C205" s="3" t="inlineStr">
        <is>
          <t>each</t>
        </is>
      </c>
      <c r="D205" s="4" t="n">
        <v>1</v>
      </c>
      <c r="E205" s="4" t="n"/>
      <c r="F205" s="2">
        <f>IFERROR(D205*E205,"")</f>
        <v/>
      </c>
      <c r="G205" s="3" t="inlineStr">
        <is>
          <t>High</t>
        </is>
      </c>
      <c r="H205" s="3" t="inlineStr">
        <is>
          <t>Approved BOQ</t>
        </is>
      </c>
      <c r="I205" s="2" t="inlineStr">
        <is>
          <t>Baseline standard-house quantity</t>
        </is>
      </c>
    </row>
    <row r="206">
      <c r="A206" s="2" t="inlineStr">
        <is>
          <t>50125-PRS-010</t>
        </is>
      </c>
      <c r="B206" s="2" t="inlineStr">
        <is>
          <t>PVC Pan Collar 100mm</t>
        </is>
      </c>
      <c r="C206" s="3" t="inlineStr">
        <is>
          <t>each</t>
        </is>
      </c>
      <c r="D206" s="4" t="n">
        <v>1</v>
      </c>
      <c r="E206" s="4" t="n"/>
      <c r="F206" s="2">
        <f>IFERROR(D206*E206,"")</f>
        <v/>
      </c>
      <c r="G206" s="3" t="inlineStr">
        <is>
          <t>High</t>
        </is>
      </c>
      <c r="H206" s="3" t="inlineStr">
        <is>
          <t>Approved BOQ</t>
        </is>
      </c>
      <c r="I206" s="2" t="inlineStr">
        <is>
          <t>Baseline standard-house quantity</t>
        </is>
      </c>
    </row>
    <row r="207">
      <c r="A207" s="2" t="inlineStr">
        <is>
          <t>50125-GRA-003</t>
        </is>
      </c>
      <c r="B207" s="2" t="inlineStr">
        <is>
          <t>PVC Floor Grate 65mm</t>
        </is>
      </c>
      <c r="C207" s="3" t="inlineStr">
        <is>
          <t>each</t>
        </is>
      </c>
      <c r="D207" s="4" t="n">
        <v>2</v>
      </c>
      <c r="E207" s="4" t="n"/>
      <c r="F207" s="2">
        <f>IFERROR(D207*E207,"")</f>
        <v/>
      </c>
      <c r="G207" s="3" t="inlineStr">
        <is>
          <t>High</t>
        </is>
      </c>
      <c r="H207" s="3" t="inlineStr">
        <is>
          <t>Approved BOQ</t>
        </is>
      </c>
      <c r="I207" s="2" t="inlineStr">
        <is>
          <t>Baseline standard-house quantity</t>
        </is>
      </c>
    </row>
    <row r="208">
      <c r="A208" s="2" t="inlineStr">
        <is>
          <t>50125-SAC-005</t>
        </is>
      </c>
      <c r="B208" s="2" t="inlineStr">
        <is>
          <t>Saddle Clip 100mm</t>
        </is>
      </c>
      <c r="C208" s="3" t="inlineStr">
        <is>
          <t>each</t>
        </is>
      </c>
      <c r="D208" s="4" t="n">
        <v>4</v>
      </c>
      <c r="E208" s="4" t="n"/>
      <c r="F208" s="2">
        <f>IFERROR(D208*E208,"")</f>
        <v/>
      </c>
      <c r="G208" s="3" t="inlineStr">
        <is>
          <t>High</t>
        </is>
      </c>
      <c r="H208" s="3" t="inlineStr">
        <is>
          <t>Approved BOQ</t>
        </is>
      </c>
      <c r="I208" s="2" t="inlineStr">
        <is>
          <t>Baseline standard-house quantity</t>
        </is>
      </c>
    </row>
    <row r="209">
      <c r="A209" s="2" t="inlineStr">
        <is>
          <t>50125-SAC-004</t>
        </is>
      </c>
      <c r="B209" s="2" t="inlineStr">
        <is>
          <t>Saddle Clip 65mm</t>
        </is>
      </c>
      <c r="C209" s="3" t="inlineStr">
        <is>
          <t>each</t>
        </is>
      </c>
      <c r="D209" s="4" t="n">
        <v>3</v>
      </c>
      <c r="E209" s="4" t="n"/>
      <c r="F209" s="2">
        <f>IFERROR(D209*E209,"")</f>
        <v/>
      </c>
      <c r="G209" s="3" t="inlineStr">
        <is>
          <t>High</t>
        </is>
      </c>
      <c r="H209" s="3" t="inlineStr">
        <is>
          <t>Approved BOQ</t>
        </is>
      </c>
      <c r="I209" s="2" t="inlineStr">
        <is>
          <t>Baseline standard-house quantity</t>
        </is>
      </c>
    </row>
    <row r="210">
      <c r="A210" s="2" t="inlineStr">
        <is>
          <t>50125-DEK-001</t>
        </is>
      </c>
      <c r="B210" s="2" t="inlineStr">
        <is>
          <t>Dektite Rubber Seal 65mm</t>
        </is>
      </c>
      <c r="C210" s="3" t="inlineStr">
        <is>
          <t>each</t>
        </is>
      </c>
      <c r="D210" s="4" t="n">
        <v>1</v>
      </c>
      <c r="E210" s="4" t="n"/>
      <c r="F210" s="2">
        <f>IFERROR(D210*E210,"")</f>
        <v/>
      </c>
      <c r="G210" s="3" t="inlineStr">
        <is>
          <t>High</t>
        </is>
      </c>
      <c r="H210" s="3" t="inlineStr">
        <is>
          <t>Approved BOQ</t>
        </is>
      </c>
      <c r="I210" s="2" t="inlineStr">
        <is>
          <t>Baseline standard-house quantity</t>
        </is>
      </c>
    </row>
    <row r="211">
      <c r="A211" s="2" t="inlineStr">
        <is>
          <t>50111-GLU-001</t>
        </is>
      </c>
      <c r="B211" s="2" t="inlineStr">
        <is>
          <t>PVC Glue 500ml</t>
        </is>
      </c>
      <c r="C211" s="3" t="inlineStr">
        <is>
          <t>each</t>
        </is>
      </c>
      <c r="D211" s="4" t="n">
        <v>1</v>
      </c>
      <c r="E211" s="4" t="n"/>
      <c r="F211" s="2">
        <f>IFERROR(D211*E211,"")</f>
        <v/>
      </c>
      <c r="G211" s="3" t="inlineStr">
        <is>
          <t>High</t>
        </is>
      </c>
      <c r="H211" s="3" t="inlineStr">
        <is>
          <t>Approved BOQ</t>
        </is>
      </c>
      <c r="I211" s="2" t="inlineStr">
        <is>
          <t>Baseline standard-house quantity</t>
        </is>
      </c>
    </row>
    <row r="212">
      <c r="A212" s="2" t="inlineStr">
        <is>
          <t>50125-PVG-002</t>
        </is>
      </c>
      <c r="B212" s="2" t="inlineStr">
        <is>
          <t>PVC Priming Fluid 500ml</t>
        </is>
      </c>
      <c r="C212" s="3" t="inlineStr">
        <is>
          <t>each</t>
        </is>
      </c>
      <c r="D212" s="4" t="n">
        <v>1</v>
      </c>
      <c r="E212" s="4" t="n"/>
      <c r="F212" s="2">
        <f>IFERROR(D212*E212,"")</f>
        <v/>
      </c>
      <c r="G212" s="3" t="inlineStr">
        <is>
          <t>High</t>
        </is>
      </c>
      <c r="H212" s="3" t="inlineStr">
        <is>
          <t>Approved BOQ</t>
        </is>
      </c>
      <c r="I212" s="2" t="inlineStr">
        <is>
          <t>Baseline standard-house quantity</t>
        </is>
      </c>
    </row>
    <row r="213">
      <c r="A213" s="2" t="inlineStr">
        <is>
          <t>50125-HAC-002</t>
        </is>
      </c>
      <c r="B213" s="2" t="inlineStr">
        <is>
          <t>Hanging Clip 100mm</t>
        </is>
      </c>
      <c r="C213" s="3" t="inlineStr">
        <is>
          <t>each</t>
        </is>
      </c>
      <c r="D213" s="4" t="n">
        <v>4</v>
      </c>
      <c r="E213" s="4" t="n"/>
      <c r="F213" s="2">
        <f>IFERROR(D213*E213,"")</f>
        <v/>
      </c>
      <c r="G213" s="3" t="inlineStr">
        <is>
          <t>High</t>
        </is>
      </c>
      <c r="H213" s="3" t="inlineStr">
        <is>
          <t>Approved BOQ</t>
        </is>
      </c>
      <c r="I213" s="2" t="inlineStr">
        <is>
          <t>Baseline standard-house quantity</t>
        </is>
      </c>
    </row>
    <row r="214">
      <c r="A214" s="2" t="inlineStr">
        <is>
          <t>50125-HAC-003</t>
        </is>
      </c>
      <c r="B214" s="2" t="inlineStr">
        <is>
          <t>Hanging Clip 65mm</t>
        </is>
      </c>
      <c r="C214" s="3" t="inlineStr">
        <is>
          <t>each</t>
        </is>
      </c>
      <c r="D214" s="4" t="n">
        <v>6</v>
      </c>
      <c r="E214" s="4" t="n"/>
      <c r="F214" s="2">
        <f>IFERROR(D214*E214,"")</f>
        <v/>
      </c>
      <c r="G214" s="3" t="inlineStr">
        <is>
          <t>High</t>
        </is>
      </c>
      <c r="H214" s="3" t="inlineStr">
        <is>
          <t>Approved BOQ</t>
        </is>
      </c>
      <c r="I214" s="2" t="inlineStr">
        <is>
          <t>Baseline standard-house quantity</t>
        </is>
      </c>
    </row>
    <row r="215">
      <c r="A215" s="2" t="inlineStr">
        <is>
          <t>50125-HAC-001</t>
        </is>
      </c>
      <c r="B215" s="2" t="inlineStr">
        <is>
          <t>Hanging Clip 50mm</t>
        </is>
      </c>
      <c r="C215" s="3" t="inlineStr">
        <is>
          <t>each</t>
        </is>
      </c>
      <c r="D215" s="4" t="n">
        <v>4</v>
      </c>
      <c r="E215" s="4" t="n"/>
      <c r="F215" s="2">
        <f>IFERROR(D215*E215,"")</f>
        <v/>
      </c>
      <c r="G215" s="3" t="inlineStr">
        <is>
          <t>High</t>
        </is>
      </c>
      <c r="H215" s="3" t="inlineStr">
        <is>
          <t>Approved BOQ</t>
        </is>
      </c>
      <c r="I215" s="2" t="inlineStr">
        <is>
          <t>Baseline standard-house quantity</t>
        </is>
      </c>
    </row>
    <row r="216">
      <c r="A216" s="2" t="inlineStr">
        <is>
          <t>50125-HAC-004</t>
        </is>
      </c>
      <c r="B216" s="2" t="inlineStr">
        <is>
          <t>Hanging Clip 40mm</t>
        </is>
      </c>
      <c r="C216" s="3" t="inlineStr">
        <is>
          <t>each</t>
        </is>
      </c>
      <c r="D216" s="4" t="n">
        <v>6</v>
      </c>
      <c r="E216" s="4" t="n"/>
      <c r="F216" s="2">
        <f>IFERROR(D216*E216,"")</f>
        <v/>
      </c>
      <c r="G216" s="3" t="inlineStr">
        <is>
          <t>High</t>
        </is>
      </c>
      <c r="H216" s="3" t="inlineStr">
        <is>
          <t>Approved BOQ</t>
        </is>
      </c>
      <c r="I216" s="2" t="inlineStr">
        <is>
          <t>Baseline standard-house quantity</t>
        </is>
      </c>
    </row>
    <row r="217">
      <c r="A217" s="2" t="inlineStr">
        <is>
          <t>50139-CRI-001</t>
        </is>
      </c>
      <c r="B217" s="2" t="inlineStr">
        <is>
          <t>Crimper</t>
        </is>
      </c>
      <c r="C217" s="3" t="inlineStr">
        <is>
          <t>each</t>
        </is>
      </c>
      <c r="D217" s="4" t="n">
        <v>1</v>
      </c>
      <c r="E217" s="4" t="n"/>
      <c r="F217" s="2">
        <f>IFERROR(D217*E217,"")</f>
        <v/>
      </c>
      <c r="G217" s="3" t="inlineStr">
        <is>
          <t>High</t>
        </is>
      </c>
      <c r="H217" s="3" t="inlineStr">
        <is>
          <t>Approved BOQ</t>
        </is>
      </c>
      <c r="I217" s="2" t="inlineStr">
        <is>
          <t>Baseline standard-house quantity</t>
        </is>
      </c>
    </row>
    <row r="218">
      <c r="A218" s="16" t="inlineStr">
        <is>
          <t>50118 - INSULATION</t>
        </is>
      </c>
    </row>
    <row r="219">
      <c r="A219" s="2" t="inlineStr">
        <is>
          <t>50118-BLW-002</t>
        </is>
      </c>
      <c r="B219" s="2" t="inlineStr">
        <is>
          <t>Wall | Multi purpose Sisalation to AS4200.1,1.35x60m roll</t>
        </is>
      </c>
      <c r="C219" s="3" t="inlineStr">
        <is>
          <t>roll</t>
        </is>
      </c>
      <c r="D219" s="4" t="n">
        <v>2</v>
      </c>
      <c r="E219" s="4" t="n"/>
      <c r="F219" s="2">
        <f>IFERROR(D219*E219,"")</f>
        <v/>
      </c>
      <c r="G219" s="3" t="inlineStr">
        <is>
          <t>High</t>
        </is>
      </c>
      <c r="H219" s="3" t="inlineStr">
        <is>
          <t>Approved BOQ</t>
        </is>
      </c>
      <c r="I219" s="2" t="inlineStr">
        <is>
          <t>Baseline standard-house quantity</t>
        </is>
      </c>
    </row>
    <row r="220">
      <c r="A220" s="2" t="inlineStr">
        <is>
          <t>50118-BLW-002</t>
        </is>
      </c>
      <c r="B220" s="2" t="inlineStr">
        <is>
          <t>Roof | Multi purpose Sisalation to AS4200.1,1.35x60m roll</t>
        </is>
      </c>
      <c r="C220" s="3" t="inlineStr">
        <is>
          <t>roll</t>
        </is>
      </c>
      <c r="D220" s="4" t="n">
        <v>2</v>
      </c>
      <c r="E220" s="4" t="n"/>
      <c r="F220" s="2">
        <f>IFERROR(D220*E220,"")</f>
        <v/>
      </c>
      <c r="G220" s="3" t="inlineStr">
        <is>
          <t>High</t>
        </is>
      </c>
      <c r="H220" s="3" t="inlineStr">
        <is>
          <t>Approved BOQ</t>
        </is>
      </c>
      <c r="I220" s="2" t="inlineStr">
        <is>
          <t>Baseline standard-house quantity</t>
        </is>
      </c>
    </row>
    <row r="221">
      <c r="A221" s="2" t="inlineStr">
        <is>
          <t>50107-WMR-001</t>
        </is>
      </c>
      <c r="B221" s="2" t="inlineStr">
        <is>
          <t>Mesh Chicken Wire - 50x1x1.8x50</t>
        </is>
      </c>
      <c r="C221" s="3" t="inlineStr">
        <is>
          <t>roll</t>
        </is>
      </c>
      <c r="D221" s="4" t="n">
        <v>2</v>
      </c>
      <c r="E221" s="4" t="n"/>
      <c r="F221" s="2">
        <f>IFERROR(D221*E221,"")</f>
        <v/>
      </c>
      <c r="G221" s="3" t="inlineStr">
        <is>
          <t>High</t>
        </is>
      </c>
      <c r="H221" s="3" t="inlineStr">
        <is>
          <t>Approved BOQ</t>
        </is>
      </c>
      <c r="I221" s="2" t="inlineStr">
        <is>
          <t>Baseline standard-house quantity</t>
        </is>
      </c>
    </row>
    <row r="222">
      <c r="A222" s="2" t="inlineStr">
        <is>
          <t>50118-BLW-005</t>
        </is>
      </c>
      <c r="B222" s="2" t="inlineStr">
        <is>
          <t>Sisalation Tape - 50m</t>
        </is>
      </c>
      <c r="C222" s="3" t="inlineStr">
        <is>
          <t>each</t>
        </is>
      </c>
      <c r="D222" s="4" t="n">
        <v>2</v>
      </c>
      <c r="E222" s="4" t="n"/>
      <c r="F222" s="2">
        <f>IFERROR(D222*E222,"")</f>
        <v/>
      </c>
      <c r="G222" s="3" t="inlineStr">
        <is>
          <t>High</t>
        </is>
      </c>
      <c r="H222" s="3" t="inlineStr">
        <is>
          <t>Approved BOQ</t>
        </is>
      </c>
      <c r="I222" s="2" t="inlineStr">
        <is>
          <t>Baseline standard-house quantity</t>
        </is>
      </c>
    </row>
    <row r="223">
      <c r="A223" s="2" t="inlineStr">
        <is>
          <t>50118-MAL-001</t>
        </is>
      </c>
      <c r="B223" s="2" t="inlineStr">
        <is>
          <t>Malthoid damp proof membrane 90mmx20m</t>
        </is>
      </c>
      <c r="C223" s="3" t="inlineStr">
        <is>
          <t>each</t>
        </is>
      </c>
      <c r="D223" s="4" t="n">
        <v>4</v>
      </c>
      <c r="E223" s="4" t="n"/>
      <c r="F223" s="2">
        <f>IFERROR(D223*E223,"")</f>
        <v/>
      </c>
      <c r="G223" s="3" t="inlineStr">
        <is>
          <t>High</t>
        </is>
      </c>
      <c r="H223" s="3" t="inlineStr">
        <is>
          <t>Approved BOQ</t>
        </is>
      </c>
      <c r="I223" s="2" t="inlineStr">
        <is>
          <t>Baseline standard-house quantity</t>
        </is>
      </c>
    </row>
    <row r="224">
      <c r="A224" s="2" t="inlineStr">
        <is>
          <t>50111-SCC-019</t>
        </is>
      </c>
      <c r="B224" s="2" t="inlineStr">
        <is>
          <t>Fixing | 10g-14 x 16mm, WAFER, SQUARE, Self-Tapping AS3566 Class 3</t>
        </is>
      </c>
      <c r="C224" s="3" t="inlineStr">
        <is>
          <t>each</t>
        </is>
      </c>
      <c r="D224" s="4" t="n">
        <v>500</v>
      </c>
      <c r="E224" s="4" t="n"/>
      <c r="F224" s="2">
        <f>IFERROR(D224*E224,"")</f>
        <v/>
      </c>
      <c r="G224" s="3" t="inlineStr">
        <is>
          <t>High</t>
        </is>
      </c>
      <c r="H224" s="3" t="inlineStr">
        <is>
          <t>Approved BOQ</t>
        </is>
      </c>
      <c r="I224" s="2" t="inlineStr">
        <is>
          <t>Baseline standard-house quantity</t>
        </is>
      </c>
    </row>
    <row r="225">
      <c r="A225" s="16" t="inlineStr">
        <is>
          <t>50119 - ELECTRICAL SERVICES - CABLES &amp; CONDUITS</t>
        </is>
      </c>
    </row>
    <row r="226">
      <c r="A226" s="2" t="inlineStr">
        <is>
          <t>50119-FLF-005</t>
        </is>
      </c>
      <c r="B226" s="2" t="inlineStr">
        <is>
          <t>18W LED Oyster Type/Round Light Fitting, 6500K White</t>
        </is>
      </c>
      <c r="C226" s="3" t="inlineStr">
        <is>
          <t>pcs</t>
        </is>
      </c>
      <c r="D226" s="4" t="n">
        <v>5</v>
      </c>
      <c r="E226" s="4" t="n"/>
      <c r="F226" s="2">
        <f>IFERROR(D226*E226,"")</f>
        <v/>
      </c>
      <c r="G226" s="3" t="inlineStr">
        <is>
          <t>High</t>
        </is>
      </c>
      <c r="H226" s="3" t="inlineStr">
        <is>
          <t>Approved BOQ</t>
        </is>
      </c>
      <c r="I226" s="2" t="inlineStr">
        <is>
          <t>Baseline standard-house quantity</t>
        </is>
      </c>
    </row>
    <row r="227">
      <c r="A227" s="2" t="inlineStr">
        <is>
          <t>50119-FLF-008</t>
        </is>
      </c>
      <c r="B227" s="2" t="inlineStr">
        <is>
          <t>12W LED Oyster Type/Round Light Fitting, 6500K White</t>
        </is>
      </c>
      <c r="C227" s="3" t="inlineStr">
        <is>
          <t>pcs</t>
        </is>
      </c>
      <c r="D227" s="4" t="n">
        <v>3</v>
      </c>
      <c r="E227" s="4" t="n"/>
      <c r="F227" s="2">
        <f>IFERROR(D227*E227,"")</f>
        <v/>
      </c>
      <c r="G227" s="3" t="inlineStr">
        <is>
          <t>High</t>
        </is>
      </c>
      <c r="H227" s="3" t="inlineStr">
        <is>
          <t>Approved BOQ</t>
        </is>
      </c>
      <c r="I227" s="2" t="inlineStr">
        <is>
          <t>Baseline standard-house quantity</t>
        </is>
      </c>
    </row>
    <row r="228">
      <c r="A228" s="2" t="inlineStr">
        <is>
          <t>50119-FLF-009</t>
        </is>
      </c>
      <c r="B228" s="2" t="inlineStr">
        <is>
          <t>12W LED Oyster Type/Round Light Fitting, Weatherproof, 6500K White</t>
        </is>
      </c>
      <c r="C228" s="3" t="inlineStr">
        <is>
          <t>pcs</t>
        </is>
      </c>
      <c r="D228" s="4" t="n">
        <v>2</v>
      </c>
      <c r="E228" s="4" t="n"/>
      <c r="F228" s="2">
        <f>IFERROR(D228*E228,"")</f>
        <v/>
      </c>
      <c r="G228" s="3" t="inlineStr">
        <is>
          <t>High</t>
        </is>
      </c>
      <c r="H228" s="3" t="inlineStr">
        <is>
          <t>Approved BOQ</t>
        </is>
      </c>
      <c r="I228" s="2" t="inlineStr">
        <is>
          <t>Baseline standard-house quantity</t>
        </is>
      </c>
    </row>
    <row r="229">
      <c r="A229" s="2" t="inlineStr">
        <is>
          <t>50119-FLF-010</t>
        </is>
      </c>
      <c r="B229" s="2" t="inlineStr">
        <is>
          <t>10W LED Floodlight, weatherproof, 6500K White</t>
        </is>
      </c>
      <c r="C229" s="3" t="inlineStr">
        <is>
          <t>pcs</t>
        </is>
      </c>
      <c r="D229" s="4" t="n">
        <v>3</v>
      </c>
      <c r="E229" s="4" t="n"/>
      <c r="F229" s="2">
        <f>IFERROR(D229*E229,"")</f>
        <v/>
      </c>
      <c r="G229" s="3" t="inlineStr">
        <is>
          <t>High</t>
        </is>
      </c>
      <c r="H229" s="3" t="inlineStr">
        <is>
          <t>Approved BOQ</t>
        </is>
      </c>
      <c r="I229" s="2" t="inlineStr">
        <is>
          <t>Baseline standard-house quantity</t>
        </is>
      </c>
    </row>
    <row r="230">
      <c r="A230" s="2" t="inlineStr">
        <is>
          <t>50119-FAN-001</t>
        </is>
      </c>
      <c r="B230" s="2" t="inlineStr">
        <is>
          <t>1200mm dia. Ceiling fans with regulator &amp; fixings/fanhooks</t>
        </is>
      </c>
      <c r="C230" s="3" t="inlineStr">
        <is>
          <t>sets</t>
        </is>
      </c>
      <c r="D230" s="4" t="n">
        <v>5</v>
      </c>
      <c r="E230" s="4" t="n"/>
      <c r="F230" s="2">
        <f>IFERROR(D230*E230,"")</f>
        <v/>
      </c>
      <c r="G230" s="3" t="inlineStr">
        <is>
          <t>High</t>
        </is>
      </c>
      <c r="H230" s="3" t="inlineStr">
        <is>
          <t>Approved BOQ</t>
        </is>
      </c>
      <c r="I230" s="2" t="inlineStr">
        <is>
          <t>Baseline standard-house quantity</t>
        </is>
      </c>
    </row>
    <row r="231">
      <c r="A231" s="2" t="inlineStr">
        <is>
          <t>50119-EXH-002</t>
        </is>
      </c>
      <c r="B231" s="2" t="inlineStr">
        <is>
          <t>Wall Mount Exhaust Fan, 150mmdia.</t>
        </is>
      </c>
      <c r="C231" s="3" t="inlineStr">
        <is>
          <t>pcs</t>
        </is>
      </c>
      <c r="D231" s="4" t="n">
        <v>1</v>
      </c>
      <c r="E231" s="4" t="n"/>
      <c r="F231" s="2">
        <f>IFERROR(D231*E231,"")</f>
        <v/>
      </c>
      <c r="G231" s="3" t="inlineStr">
        <is>
          <t>High</t>
        </is>
      </c>
      <c r="H231" s="3" t="inlineStr">
        <is>
          <t>Approved BOQ</t>
        </is>
      </c>
      <c r="I231" s="2" t="inlineStr">
        <is>
          <t>Baseline standard-house quantity</t>
        </is>
      </c>
    </row>
    <row r="232">
      <c r="A232" s="2" t="inlineStr">
        <is>
          <t>50119-LIS-002</t>
        </is>
      </c>
      <c r="B232" s="2" t="inlineStr">
        <is>
          <t>Light switch 1-gang</t>
        </is>
      </c>
      <c r="C232" s="3" t="inlineStr">
        <is>
          <t>pcs</t>
        </is>
      </c>
      <c r="D232" s="4" t="n">
        <v>3</v>
      </c>
      <c r="E232" s="4" t="n"/>
      <c r="F232" s="2">
        <f>IFERROR(D232*E232,"")</f>
        <v/>
      </c>
      <c r="G232" s="3" t="inlineStr">
        <is>
          <t>High</t>
        </is>
      </c>
      <c r="H232" s="3" t="inlineStr">
        <is>
          <t>Approved BOQ</t>
        </is>
      </c>
      <c r="I232" s="2" t="inlineStr">
        <is>
          <t>Baseline standard-house quantity</t>
        </is>
      </c>
    </row>
    <row r="233">
      <c r="A233" s="2" t="inlineStr">
        <is>
          <t>50119-LIS-001</t>
        </is>
      </c>
      <c r="B233" s="2" t="inlineStr">
        <is>
          <t>Light switch 2-gang</t>
        </is>
      </c>
      <c r="C233" s="3" t="inlineStr">
        <is>
          <t>pcs</t>
        </is>
      </c>
      <c r="D233" s="4" t="n">
        <v>3</v>
      </c>
      <c r="E233" s="4" t="n"/>
      <c r="F233" s="2">
        <f>IFERROR(D233*E233,"")</f>
        <v/>
      </c>
      <c r="G233" s="3" t="inlineStr">
        <is>
          <t>High</t>
        </is>
      </c>
      <c r="H233" s="3" t="inlineStr">
        <is>
          <t>Approved BOQ</t>
        </is>
      </c>
      <c r="I233" s="2" t="inlineStr">
        <is>
          <t>Baseline standard-house quantity</t>
        </is>
      </c>
    </row>
    <row r="234">
      <c r="A234" s="2" t="inlineStr">
        <is>
          <t>50119-ELC-023</t>
        </is>
      </c>
      <c r="B234" s="2" t="inlineStr">
        <is>
          <t>Switch Weather Proof</t>
        </is>
      </c>
      <c r="C234" s="3" t="inlineStr">
        <is>
          <t>pcs</t>
        </is>
      </c>
      <c r="D234" s="4" t="n">
        <v>1</v>
      </c>
      <c r="E234" s="4" t="n"/>
      <c r="F234" s="2">
        <f>IFERROR(D234*E234,"")</f>
        <v/>
      </c>
      <c r="G234" s="3" t="inlineStr">
        <is>
          <t>High</t>
        </is>
      </c>
      <c r="H234" s="3" t="inlineStr">
        <is>
          <t>Approved BOQ</t>
        </is>
      </c>
      <c r="I234" s="2" t="inlineStr">
        <is>
          <t>Baseline standard-house quantity</t>
        </is>
      </c>
    </row>
    <row r="235">
      <c r="A235" s="2" t="inlineStr">
        <is>
          <t>50119-GPO-002</t>
        </is>
      </c>
      <c r="B235" s="2" t="inlineStr">
        <is>
          <t>Double GPO, 10A</t>
        </is>
      </c>
      <c r="C235" s="3" t="inlineStr">
        <is>
          <t>pcs</t>
        </is>
      </c>
      <c r="D235" s="4" t="n">
        <v>9</v>
      </c>
      <c r="E235" s="4" t="n"/>
      <c r="F235" s="2">
        <f>IFERROR(D235*E235,"")</f>
        <v/>
      </c>
      <c r="G235" s="3" t="inlineStr">
        <is>
          <t>High</t>
        </is>
      </c>
      <c r="H235" s="3" t="inlineStr">
        <is>
          <t>Approved BOQ</t>
        </is>
      </c>
      <c r="I235" s="2" t="inlineStr">
        <is>
          <t>Baseline standard-house quantity</t>
        </is>
      </c>
    </row>
    <row r="236">
      <c r="A236" s="2" t="inlineStr">
        <is>
          <t>50119-GPO-001</t>
        </is>
      </c>
      <c r="B236" s="2" t="inlineStr">
        <is>
          <t>Single GPO, 10A</t>
        </is>
      </c>
      <c r="C236" s="3" t="inlineStr">
        <is>
          <t>pcs</t>
        </is>
      </c>
      <c r="D236" s="4" t="n">
        <v>5</v>
      </c>
      <c r="E236" s="4" t="n"/>
      <c r="F236" s="2">
        <f>IFERROR(D236*E236,"")</f>
        <v/>
      </c>
      <c r="G236" s="3" t="inlineStr">
        <is>
          <t>High</t>
        </is>
      </c>
      <c r="H236" s="3" t="inlineStr">
        <is>
          <t>Approved BOQ</t>
        </is>
      </c>
      <c r="I236" s="2" t="inlineStr">
        <is>
          <t>Baseline standard-house quantity</t>
        </is>
      </c>
    </row>
    <row r="237">
      <c r="A237" s="2" t="inlineStr">
        <is>
          <t>50119-GPO-005</t>
        </is>
      </c>
      <c r="B237" s="2" t="inlineStr">
        <is>
          <t>Double GPO, 10A, Weatherproof</t>
        </is>
      </c>
      <c r="C237" s="3" t="inlineStr">
        <is>
          <t>pc</t>
        </is>
      </c>
      <c r="D237" s="4" t="n">
        <v>1</v>
      </c>
      <c r="E237" s="4" t="n"/>
      <c r="F237" s="2">
        <f>IFERROR(D237*E237,"")</f>
        <v/>
      </c>
      <c r="G237" s="3" t="inlineStr">
        <is>
          <t>High</t>
        </is>
      </c>
      <c r="H237" s="3" t="inlineStr">
        <is>
          <t>Approved BOQ</t>
        </is>
      </c>
      <c r="I237" s="2" t="inlineStr">
        <is>
          <t>Baseline standard-house quantity</t>
        </is>
      </c>
    </row>
    <row r="238">
      <c r="A238" s="2" t="inlineStr">
        <is>
          <t>50119-GPO-004</t>
        </is>
      </c>
      <c r="B238" s="2" t="inlineStr">
        <is>
          <t>Single GPO, 10A, Weatherproof</t>
        </is>
      </c>
      <c r="C238" s="3" t="inlineStr">
        <is>
          <t>pc</t>
        </is>
      </c>
      <c r="D238" s="4" t="n">
        <v>1</v>
      </c>
      <c r="E238" s="4" t="n"/>
      <c r="F238" s="2">
        <f>IFERROR(D238*E238,"")</f>
        <v/>
      </c>
      <c r="G238" s="3" t="inlineStr">
        <is>
          <t>High</t>
        </is>
      </c>
      <c r="H238" s="3" t="inlineStr">
        <is>
          <t>Approved BOQ</t>
        </is>
      </c>
      <c r="I238" s="2" t="inlineStr">
        <is>
          <t>Baseline standard-house quantity</t>
        </is>
      </c>
    </row>
    <row r="239">
      <c r="A239" s="2" t="inlineStr">
        <is>
          <t>50119-NPO-007</t>
        </is>
      </c>
      <c r="B239" s="2" t="inlineStr">
        <is>
          <t>Load Centre 12Pole, PVC, surface mount</t>
        </is>
      </c>
      <c r="C239" s="3" t="inlineStr">
        <is>
          <t>pc</t>
        </is>
      </c>
      <c r="D239" s="4" t="n">
        <v>1</v>
      </c>
      <c r="E239" s="4" t="n"/>
      <c r="F239" s="2">
        <f>IFERROR(D239*E239,"")</f>
        <v/>
      </c>
      <c r="G239" s="3" t="inlineStr">
        <is>
          <t>High</t>
        </is>
      </c>
      <c r="H239" s="3" t="inlineStr">
        <is>
          <t>Approved BOQ</t>
        </is>
      </c>
      <c r="I239" s="2" t="inlineStr">
        <is>
          <t>Baseline standard-house quantity</t>
        </is>
      </c>
    </row>
    <row r="240">
      <c r="A240" s="2" t="inlineStr">
        <is>
          <t>50119-MCB-001</t>
        </is>
      </c>
      <c r="B240" s="2" t="inlineStr">
        <is>
          <t>MCB, 63A, 1P</t>
        </is>
      </c>
      <c r="C240" s="3" t="inlineStr">
        <is>
          <t>pcs</t>
        </is>
      </c>
      <c r="D240" s="4" t="n">
        <v>1</v>
      </c>
      <c r="E240" s="4" t="n"/>
      <c r="F240" s="2">
        <f>IFERROR(D240*E240,"")</f>
        <v/>
      </c>
      <c r="G240" s="3" t="inlineStr">
        <is>
          <t>High</t>
        </is>
      </c>
      <c r="H240" s="3" t="inlineStr">
        <is>
          <t>Approved BOQ</t>
        </is>
      </c>
      <c r="I240" s="2" t="inlineStr">
        <is>
          <t>Baseline standard-house quantity</t>
        </is>
      </c>
    </row>
    <row r="241">
      <c r="A241" s="2" t="inlineStr">
        <is>
          <t>50119-RCB-002</t>
        </is>
      </c>
      <c r="B241" s="2" t="inlineStr">
        <is>
          <t>RCBO, 10A, 30mA, 1P, load centre type, compact/slim</t>
        </is>
      </c>
      <c r="C241" s="3" t="inlineStr">
        <is>
          <t>pcs</t>
        </is>
      </c>
      <c r="D241" s="4" t="n">
        <v>4</v>
      </c>
      <c r="E241" s="4" t="n"/>
      <c r="F241" s="2">
        <f>IFERROR(D241*E241,"")</f>
        <v/>
      </c>
      <c r="G241" s="3" t="inlineStr">
        <is>
          <t>High</t>
        </is>
      </c>
      <c r="H241" s="3" t="inlineStr">
        <is>
          <t>Approved BOQ</t>
        </is>
      </c>
      <c r="I241" s="2" t="inlineStr">
        <is>
          <t>Baseline standard-house quantity</t>
        </is>
      </c>
    </row>
    <row r="242">
      <c r="A242" s="2" t="inlineStr">
        <is>
          <t>50119-RCB-001</t>
        </is>
      </c>
      <c r="B242" s="2" t="inlineStr">
        <is>
          <t>RCBO, 16A, 30mA, 1P, load centre type, compact/slim</t>
        </is>
      </c>
      <c r="C242" s="3" t="inlineStr">
        <is>
          <t>pcs</t>
        </is>
      </c>
      <c r="D242" s="4" t="n">
        <v>6</v>
      </c>
      <c r="E242" s="4" t="n"/>
      <c r="F242" s="2">
        <f>IFERROR(D242*E242,"")</f>
        <v/>
      </c>
      <c r="G242" s="3" t="inlineStr">
        <is>
          <t>High</t>
        </is>
      </c>
      <c r="H242" s="3" t="inlineStr">
        <is>
          <t>Approved BOQ</t>
        </is>
      </c>
      <c r="I242" s="2" t="inlineStr">
        <is>
          <t>Baseline standard-house quantity</t>
        </is>
      </c>
    </row>
    <row r="243">
      <c r="A243" s="2" t="inlineStr">
        <is>
          <t>50119-CAB-032</t>
        </is>
      </c>
      <c r="B243" s="2" t="inlineStr">
        <is>
          <t>16mm2 2C + E PVC/PVC TPS Flat Cable</t>
        </is>
      </c>
      <c r="C243" s="3" t="inlineStr">
        <is>
          <t>meters</t>
        </is>
      </c>
      <c r="D243" s="4" t="n">
        <v>30</v>
      </c>
      <c r="E243" s="4" t="n"/>
      <c r="F243" s="2">
        <f>IFERROR(D243*E243,"")</f>
        <v/>
      </c>
      <c r="G243" s="3" t="inlineStr">
        <is>
          <t>High</t>
        </is>
      </c>
      <c r="H243" s="3" t="inlineStr">
        <is>
          <t>Approved BOQ</t>
        </is>
      </c>
      <c r="I243" s="2" t="inlineStr">
        <is>
          <t>Baseline standard-house quantity</t>
        </is>
      </c>
    </row>
    <row r="244">
      <c r="A244" s="2" t="inlineStr">
        <is>
          <t>50119-CAB-035</t>
        </is>
      </c>
      <c r="B244" s="2" t="inlineStr">
        <is>
          <t>16mm2 2C PVC/PVC TPS Flat Cable</t>
        </is>
      </c>
      <c r="C244" s="3" t="inlineStr">
        <is>
          <t>meters</t>
        </is>
      </c>
      <c r="D244" s="4" t="n">
        <v>20</v>
      </c>
      <c r="E244" s="4" t="n"/>
      <c r="F244" s="2">
        <f>IFERROR(D244*E244,"")</f>
        <v/>
      </c>
      <c r="G244" s="3" t="inlineStr">
        <is>
          <t>High</t>
        </is>
      </c>
      <c r="H244" s="3" t="inlineStr">
        <is>
          <t>Approved BOQ</t>
        </is>
      </c>
      <c r="I244" s="2" t="inlineStr">
        <is>
          <t>Baseline standard-house quantity</t>
        </is>
      </c>
    </row>
    <row r="245">
      <c r="A245" s="2" t="inlineStr">
        <is>
          <t>50119-CAB-012</t>
        </is>
      </c>
      <c r="B245" s="2" t="inlineStr">
        <is>
          <t>6mm2 Building Wire Green/Yellow</t>
        </is>
      </c>
      <c r="C245" s="3" t="inlineStr">
        <is>
          <t>meters</t>
        </is>
      </c>
      <c r="D245" s="4" t="n">
        <v>10</v>
      </c>
      <c r="E245" s="4" t="n"/>
      <c r="F245" s="2">
        <f>IFERROR(D245*E245,"")</f>
        <v/>
      </c>
      <c r="G245" s="3" t="inlineStr">
        <is>
          <t>High</t>
        </is>
      </c>
      <c r="H245" s="3" t="inlineStr">
        <is>
          <t>Approved BOQ</t>
        </is>
      </c>
      <c r="I245" s="2" t="inlineStr">
        <is>
          <t>Baseline standard-house quantity</t>
        </is>
      </c>
    </row>
    <row r="246">
      <c r="A246" s="2" t="inlineStr">
        <is>
          <t>50119-CAB-005</t>
        </is>
      </c>
      <c r="B246" s="2" t="inlineStr">
        <is>
          <t>2.5mm2 2C + E pvc/pvc TPS</t>
        </is>
      </c>
      <c r="C246" s="3" t="inlineStr">
        <is>
          <t>meters</t>
        </is>
      </c>
      <c r="D246" s="4" t="n">
        <v>100</v>
      </c>
      <c r="E246" s="4" t="n"/>
      <c r="F246" s="2">
        <f>IFERROR(D246*E246,"")</f>
        <v/>
      </c>
      <c r="G246" s="3" t="inlineStr">
        <is>
          <t>High</t>
        </is>
      </c>
      <c r="H246" s="3" t="inlineStr">
        <is>
          <t>Approved BOQ</t>
        </is>
      </c>
      <c r="I246" s="2" t="inlineStr">
        <is>
          <t>Baseline standard-house quantity</t>
        </is>
      </c>
    </row>
    <row r="247">
      <c r="A247" s="2" t="inlineStr">
        <is>
          <t>50119-CAB-006</t>
        </is>
      </c>
      <c r="B247" s="2" t="inlineStr">
        <is>
          <t>1.5mm2 2C + E pvc/pvc TPS</t>
        </is>
      </c>
      <c r="C247" s="3" t="inlineStr">
        <is>
          <t>meters</t>
        </is>
      </c>
      <c r="D247" s="4" t="n">
        <v>150</v>
      </c>
      <c r="E247" s="4" t="n"/>
      <c r="F247" s="2">
        <f>IFERROR(D247*E247,"")</f>
        <v/>
      </c>
      <c r="G247" s="3" t="inlineStr">
        <is>
          <t>High</t>
        </is>
      </c>
      <c r="H247" s="3" t="inlineStr">
        <is>
          <t>Approved BOQ</t>
        </is>
      </c>
      <c r="I247" s="2" t="inlineStr">
        <is>
          <t>Baseline standard-house quantity</t>
        </is>
      </c>
    </row>
    <row r="248">
      <c r="A248" s="2" t="inlineStr">
        <is>
          <t>50119-CAB-008</t>
        </is>
      </c>
      <c r="B248" s="2" t="inlineStr">
        <is>
          <t>1.5mm2 Twin Active/Switch Cable, pvc/pvc, TPS</t>
        </is>
      </c>
      <c r="C248" s="3" t="inlineStr">
        <is>
          <t>meters</t>
        </is>
      </c>
      <c r="D248" s="4" t="n">
        <v>30</v>
      </c>
      <c r="E248" s="4" t="n"/>
      <c r="F248" s="2">
        <f>IFERROR(D248*E248,"")</f>
        <v/>
      </c>
      <c r="G248" s="3" t="inlineStr">
        <is>
          <t>High</t>
        </is>
      </c>
      <c r="H248" s="3" t="inlineStr">
        <is>
          <t>Approved BOQ</t>
        </is>
      </c>
      <c r="I248" s="2" t="inlineStr">
        <is>
          <t>Baseline standard-house quantity</t>
        </is>
      </c>
    </row>
    <row r="249">
      <c r="A249" s="2" t="inlineStr">
        <is>
          <t>50119-CAB-007</t>
        </is>
      </c>
      <c r="B249" s="2" t="inlineStr">
        <is>
          <t>1.5mm2 Twin Active + E /Fan Cable, pvc/pvc, TPS</t>
        </is>
      </c>
      <c r="C249" s="3" t="inlineStr">
        <is>
          <t>meters</t>
        </is>
      </c>
      <c r="D249" s="4" t="n">
        <v>50</v>
      </c>
      <c r="E249" s="4" t="n"/>
      <c r="F249" s="2">
        <f>IFERROR(D249*E249,"")</f>
        <v/>
      </c>
      <c r="G249" s="3" t="inlineStr">
        <is>
          <t>High</t>
        </is>
      </c>
      <c r="H249" s="3" t="inlineStr">
        <is>
          <t>Approved BOQ</t>
        </is>
      </c>
      <c r="I249" s="2" t="inlineStr">
        <is>
          <t>Baseline standard-house quantity</t>
        </is>
      </c>
    </row>
    <row r="250">
      <c r="A250" s="2" t="inlineStr">
        <is>
          <t>50119-CON-003</t>
        </is>
      </c>
      <c r="B250" s="2" t="inlineStr">
        <is>
          <t>Conduit 32mmdia x 4meters, LD, grey</t>
        </is>
      </c>
      <c r="C250" s="3" t="inlineStr">
        <is>
          <t>lengths</t>
        </is>
      </c>
      <c r="D250" s="4" t="n">
        <v>3</v>
      </c>
      <c r="E250" s="4" t="n"/>
      <c r="F250" s="2">
        <f>IFERROR(D250*E250,"")</f>
        <v/>
      </c>
      <c r="G250" s="3" t="inlineStr">
        <is>
          <t>High</t>
        </is>
      </c>
      <c r="H250" s="3" t="inlineStr">
        <is>
          <t>Approved BOQ</t>
        </is>
      </c>
      <c r="I250" s="2" t="inlineStr">
        <is>
          <t>Baseline standard-house quantity</t>
        </is>
      </c>
    </row>
    <row r="251">
      <c r="A251" s="2" t="inlineStr">
        <is>
          <t>50119-CON-005</t>
        </is>
      </c>
      <c r="B251" s="2" t="inlineStr">
        <is>
          <t>Conduit 25mmdia x 4meters, LD, grey</t>
        </is>
      </c>
      <c r="C251" s="3" t="inlineStr">
        <is>
          <t>lengths</t>
        </is>
      </c>
      <c r="D251" s="4" t="n">
        <v>2</v>
      </c>
      <c r="E251" s="4" t="n"/>
      <c r="F251" s="2">
        <f>IFERROR(D251*E251,"")</f>
        <v/>
      </c>
      <c r="G251" s="3" t="inlineStr">
        <is>
          <t>High</t>
        </is>
      </c>
      <c r="H251" s="3" t="inlineStr">
        <is>
          <t>Approved BOQ</t>
        </is>
      </c>
      <c r="I251" s="2" t="inlineStr">
        <is>
          <t>Baseline standard-house quantity</t>
        </is>
      </c>
    </row>
    <row r="252">
      <c r="A252" s="2" t="inlineStr">
        <is>
          <t>50119-COU-002</t>
        </is>
      </c>
      <c r="B252" s="2" t="inlineStr">
        <is>
          <t>Coupling 25mm</t>
        </is>
      </c>
      <c r="C252" s="3" t="inlineStr">
        <is>
          <t>pc</t>
        </is>
      </c>
      <c r="D252" s="4" t="n">
        <v>5</v>
      </c>
      <c r="E252" s="4" t="n"/>
      <c r="F252" s="2">
        <f>IFERROR(D252*E252,"")</f>
        <v/>
      </c>
      <c r="G252" s="3" t="inlineStr">
        <is>
          <t>High</t>
        </is>
      </c>
      <c r="H252" s="3" t="inlineStr">
        <is>
          <t>Approved BOQ</t>
        </is>
      </c>
      <c r="I252" s="2" t="inlineStr">
        <is>
          <t>Baseline standard-house quantity</t>
        </is>
      </c>
    </row>
    <row r="253">
      <c r="A253" s="2" t="inlineStr">
        <is>
          <t>50119-COU-001</t>
        </is>
      </c>
      <c r="B253" s="2" t="inlineStr">
        <is>
          <t>Coupling 32mm</t>
        </is>
      </c>
      <c r="C253" s="3" t="inlineStr">
        <is>
          <t>pc</t>
        </is>
      </c>
      <c r="D253" s="4" t="n">
        <v>5</v>
      </c>
      <c r="E253" s="4" t="n"/>
      <c r="F253" s="2">
        <f>IFERROR(D253*E253,"")</f>
        <v/>
      </c>
      <c r="G253" s="3" t="inlineStr">
        <is>
          <t>High</t>
        </is>
      </c>
      <c r="H253" s="3" t="inlineStr">
        <is>
          <t>Approved BOQ</t>
        </is>
      </c>
      <c r="I253" s="2" t="inlineStr">
        <is>
          <t>Baseline standard-house quantity</t>
        </is>
      </c>
    </row>
    <row r="254">
      <c r="A254" s="2" t="inlineStr">
        <is>
          <t>50119-PVA-002</t>
        </is>
      </c>
      <c r="B254" s="2" t="inlineStr">
        <is>
          <t>PVC adaptor with lockring 32mmdia</t>
        </is>
      </c>
      <c r="C254" s="3" t="inlineStr">
        <is>
          <t>pcs</t>
        </is>
      </c>
      <c r="D254" s="4" t="n">
        <v>5</v>
      </c>
      <c r="E254" s="4" t="n"/>
      <c r="F254" s="2">
        <f>IFERROR(D254*E254,"")</f>
        <v/>
      </c>
      <c r="G254" s="3" t="inlineStr">
        <is>
          <t>High</t>
        </is>
      </c>
      <c r="H254" s="3" t="inlineStr">
        <is>
          <t>Approved BOQ</t>
        </is>
      </c>
      <c r="I254" s="2" t="inlineStr">
        <is>
          <t>Baseline standard-house quantity</t>
        </is>
      </c>
    </row>
    <row r="255">
      <c r="A255" s="2" t="inlineStr">
        <is>
          <t>50119-PVA-003</t>
        </is>
      </c>
      <c r="B255" s="2" t="inlineStr">
        <is>
          <t>PVC adaptor with lockring 25mmdia</t>
        </is>
      </c>
      <c r="C255" s="3" t="inlineStr">
        <is>
          <t>pcs</t>
        </is>
      </c>
      <c r="D255" s="4" t="n">
        <v>5</v>
      </c>
      <c r="E255" s="4" t="n"/>
      <c r="F255" s="2">
        <f>IFERROR(D255*E255,"")</f>
        <v/>
      </c>
      <c r="G255" s="3" t="inlineStr">
        <is>
          <t>High</t>
        </is>
      </c>
      <c r="H255" s="3" t="inlineStr">
        <is>
          <t>Approved BOQ</t>
        </is>
      </c>
      <c r="I255" s="2" t="inlineStr">
        <is>
          <t>Baseline standard-house quantity</t>
        </is>
      </c>
    </row>
    <row r="256">
      <c r="A256" s="2" t="inlineStr">
        <is>
          <t>50119-PDE-001</t>
        </is>
      </c>
      <c r="B256" s="2" t="inlineStr">
        <is>
          <t>Dead End</t>
        </is>
      </c>
      <c r="C256" s="3" t="inlineStr">
        <is>
          <t>pcs</t>
        </is>
      </c>
      <c r="D256" s="4" t="n">
        <v>2</v>
      </c>
      <c r="E256" s="4" t="n"/>
      <c r="F256" s="2">
        <f>IFERROR(D256*E256,"")</f>
        <v/>
      </c>
      <c r="G256" s="3" t="inlineStr">
        <is>
          <t>High</t>
        </is>
      </c>
      <c r="H256" s="3" t="inlineStr">
        <is>
          <t>Approved BOQ</t>
        </is>
      </c>
      <c r="I256" s="2" t="inlineStr">
        <is>
          <t>Baseline standard-house quantity</t>
        </is>
      </c>
    </row>
    <row r="257">
      <c r="A257" s="2" t="inlineStr">
        <is>
          <t>50119-SAD-002</t>
        </is>
      </c>
      <c r="B257" s="2" t="inlineStr">
        <is>
          <t>Saddles, pvc, 32mm</t>
        </is>
      </c>
      <c r="C257" s="3" t="inlineStr">
        <is>
          <t>pcs</t>
        </is>
      </c>
      <c r="D257" s="4" t="n">
        <v>6</v>
      </c>
      <c r="E257" s="4" t="n"/>
      <c r="F257" s="2">
        <f>IFERROR(D257*E257,"")</f>
        <v/>
      </c>
      <c r="G257" s="3" t="inlineStr">
        <is>
          <t>High</t>
        </is>
      </c>
      <c r="H257" s="3" t="inlineStr">
        <is>
          <t>Approved BOQ</t>
        </is>
      </c>
      <c r="I257" s="2" t="inlineStr">
        <is>
          <t>Baseline standard-house quantity</t>
        </is>
      </c>
    </row>
    <row r="258">
      <c r="A258" s="2" t="inlineStr">
        <is>
          <t>50119-SAD-003</t>
        </is>
      </c>
      <c r="B258" s="2" t="inlineStr">
        <is>
          <t>Saddles, pvc, 25mm</t>
        </is>
      </c>
      <c r="C258" s="3" t="inlineStr">
        <is>
          <t>pcs</t>
        </is>
      </c>
      <c r="D258" s="4" t="n">
        <v>6</v>
      </c>
      <c r="E258" s="4" t="n"/>
      <c r="F258" s="2">
        <f>IFERROR(D258*E258,"")</f>
        <v/>
      </c>
      <c r="G258" s="3" t="inlineStr">
        <is>
          <t>High</t>
        </is>
      </c>
      <c r="H258" s="3" t="inlineStr">
        <is>
          <t>Approved BOQ</t>
        </is>
      </c>
      <c r="I258" s="2" t="inlineStr">
        <is>
          <t>Baseline standard-house quantity</t>
        </is>
      </c>
    </row>
    <row r="259">
      <c r="A259" s="2" t="inlineStr">
        <is>
          <t>50119-GMB-001</t>
        </is>
      </c>
      <c r="B259" s="2" t="inlineStr">
        <is>
          <t>Galvanized Meter Box 300 x 300 x 250mm</t>
        </is>
      </c>
      <c r="C259" s="3" t="inlineStr">
        <is>
          <t>pc</t>
        </is>
      </c>
      <c r="D259" s="4" t="n">
        <v>1</v>
      </c>
      <c r="E259" s="4" t="n"/>
      <c r="F259" s="2">
        <f>IFERROR(D259*E259,"")</f>
        <v/>
      </c>
      <c r="G259" s="3" t="inlineStr">
        <is>
          <t>High</t>
        </is>
      </c>
      <c r="H259" s="3" t="inlineStr">
        <is>
          <t>Approved BOQ</t>
        </is>
      </c>
      <c r="I259" s="2" t="inlineStr">
        <is>
          <t>Baseline standard-house quantity</t>
        </is>
      </c>
    </row>
    <row r="260">
      <c r="A260" s="2" t="inlineStr">
        <is>
          <t>50119-WEA-004</t>
        </is>
      </c>
      <c r="B260" s="2" t="inlineStr">
        <is>
          <t>Mains Entry Box, 1-phase, 16mm2 max.</t>
        </is>
      </c>
      <c r="C260" s="3" t="inlineStr">
        <is>
          <t>pc</t>
        </is>
      </c>
      <c r="D260" s="4" t="n">
        <v>1</v>
      </c>
      <c r="E260" s="4" t="n"/>
      <c r="F260" s="2">
        <f>IFERROR(D260*E260,"")</f>
        <v/>
      </c>
      <c r="G260" s="3" t="inlineStr">
        <is>
          <t>High</t>
        </is>
      </c>
      <c r="H260" s="3" t="inlineStr">
        <is>
          <t>Approved BOQ</t>
        </is>
      </c>
      <c r="I260" s="2" t="inlineStr">
        <is>
          <t>Baseline standard-house quantity</t>
        </is>
      </c>
    </row>
    <row r="261">
      <c r="A261" s="2" t="inlineStr">
        <is>
          <t>50119-ELC-010</t>
        </is>
      </c>
      <c r="B261" s="2" t="inlineStr">
        <is>
          <t>Earth Stake with earth clamp, 13mm dia.</t>
        </is>
      </c>
      <c r="C261" s="3" t="inlineStr">
        <is>
          <t>pc</t>
        </is>
      </c>
      <c r="D261" s="4" t="n">
        <v>1</v>
      </c>
      <c r="E261" s="4" t="n"/>
      <c r="F261" s="2">
        <f>IFERROR(D261*E261,"")</f>
        <v/>
      </c>
      <c r="G261" s="3" t="inlineStr">
        <is>
          <t>High</t>
        </is>
      </c>
      <c r="H261" s="3" t="inlineStr">
        <is>
          <t>Approved BOQ</t>
        </is>
      </c>
      <c r="I261" s="2" t="inlineStr">
        <is>
          <t>Baseline standard-house quantity</t>
        </is>
      </c>
    </row>
    <row r="262">
      <c r="A262" s="2" t="inlineStr">
        <is>
          <t>50119-CSW-001</t>
        </is>
      </c>
      <c r="B262" s="2" t="inlineStr">
        <is>
          <t>Coach Screw, 10mmdia x 60mm for mounting ceiling fans</t>
        </is>
      </c>
      <c r="C262" s="3" t="inlineStr">
        <is>
          <t>pcs</t>
        </is>
      </c>
      <c r="D262" s="4" t="n">
        <v>10</v>
      </c>
      <c r="E262" s="4" t="n"/>
      <c r="F262" s="2">
        <f>IFERROR(D262*E262,"")</f>
        <v/>
      </c>
      <c r="G262" s="3" t="inlineStr">
        <is>
          <t>High</t>
        </is>
      </c>
      <c r="H262" s="3" t="inlineStr">
        <is>
          <t>Approved BOQ</t>
        </is>
      </c>
      <c r="I262" s="2" t="inlineStr">
        <is>
          <t>Baseline standard-house quantity</t>
        </is>
      </c>
    </row>
    <row r="263">
      <c r="A263" s="2" t="inlineStr">
        <is>
          <t>50119-ELC-012</t>
        </is>
      </c>
      <c r="B263" s="2" t="inlineStr">
        <is>
          <t>Single Screw Connectors</t>
        </is>
      </c>
      <c r="C263" s="3" t="inlineStr">
        <is>
          <t>pcs</t>
        </is>
      </c>
      <c r="D263" s="4" t="n">
        <v>45</v>
      </c>
      <c r="E263" s="4" t="n"/>
      <c r="F263" s="2">
        <f>IFERROR(D263*E263,"")</f>
        <v/>
      </c>
      <c r="G263" s="3" t="inlineStr">
        <is>
          <t>High</t>
        </is>
      </c>
      <c r="H263" s="3" t="inlineStr">
        <is>
          <t>Approved BOQ</t>
        </is>
      </c>
      <c r="I263" s="2" t="inlineStr">
        <is>
          <t>Baseline standard-house quantity</t>
        </is>
      </c>
    </row>
    <row r="264">
      <c r="A264" s="2" t="inlineStr">
        <is>
          <t>50119-ELC-008</t>
        </is>
      </c>
      <c r="B264" s="2" t="inlineStr">
        <is>
          <t>Insulation Tape, (Red)</t>
        </is>
      </c>
      <c r="C264" s="3" t="inlineStr">
        <is>
          <t>rolls</t>
        </is>
      </c>
      <c r="D264" s="4" t="n">
        <v>3</v>
      </c>
      <c r="E264" s="4" t="n"/>
      <c r="F264" s="2">
        <f>IFERROR(D264*E264,"")</f>
        <v/>
      </c>
      <c r="G264" s="3" t="inlineStr">
        <is>
          <t>High</t>
        </is>
      </c>
      <c r="H264" s="3" t="inlineStr">
        <is>
          <t>Approved BOQ</t>
        </is>
      </c>
      <c r="I264" s="2" t="inlineStr">
        <is>
          <t>Baseline standard-house quantity</t>
        </is>
      </c>
    </row>
    <row r="265">
      <c r="A265" s="2" t="inlineStr">
        <is>
          <t>50119-ELC-006</t>
        </is>
      </c>
      <c r="B265" s="2" t="inlineStr">
        <is>
          <t>Insulation Tape, (Black)</t>
        </is>
      </c>
      <c r="C265" s="3" t="inlineStr">
        <is>
          <t>rolls</t>
        </is>
      </c>
      <c r="D265" s="4" t="n">
        <v>2</v>
      </c>
      <c r="E265" s="4" t="n"/>
      <c r="F265" s="2">
        <f>IFERROR(D265*E265,"")</f>
        <v/>
      </c>
      <c r="G265" s="3" t="inlineStr">
        <is>
          <t>High</t>
        </is>
      </c>
      <c r="H265" s="3" t="inlineStr">
        <is>
          <t>Approved BOQ</t>
        </is>
      </c>
      <c r="I265" s="2" t="inlineStr">
        <is>
          <t>Baseline standard-house quantity</t>
        </is>
      </c>
    </row>
    <row r="266">
      <c r="A266" s="2" t="inlineStr">
        <is>
          <t>50119-ELC-007</t>
        </is>
      </c>
      <c r="B266" s="2" t="inlineStr">
        <is>
          <t>Insulation Tape, (Yellow/Green)</t>
        </is>
      </c>
      <c r="C266" s="3" t="inlineStr">
        <is>
          <t>roll</t>
        </is>
      </c>
      <c r="D266" s="4" t="n">
        <v>1</v>
      </c>
      <c r="E266" s="4" t="n"/>
      <c r="F266" s="2">
        <f>IFERROR(D266*E266,"")</f>
        <v/>
      </c>
      <c r="G266" s="3" t="inlineStr">
        <is>
          <t>High</t>
        </is>
      </c>
      <c r="H266" s="3" t="inlineStr">
        <is>
          <t>Approved BOQ</t>
        </is>
      </c>
      <c r="I266" s="2" t="inlineStr">
        <is>
          <t>Baseline standard-house quantity</t>
        </is>
      </c>
    </row>
    <row r="267">
      <c r="A267" s="2" t="inlineStr">
        <is>
          <t>50119-BRA-002</t>
        </is>
      </c>
      <c r="B267" s="2" t="inlineStr">
        <is>
          <t>Wall Brackets, Full, Metal</t>
        </is>
      </c>
      <c r="C267" s="3" t="inlineStr">
        <is>
          <t>pcs</t>
        </is>
      </c>
      <c r="D267" s="4" t="n">
        <v>28</v>
      </c>
      <c r="E267" s="4" t="n"/>
      <c r="F267" s="2">
        <f>IFERROR(D267*E267,"")</f>
        <v/>
      </c>
      <c r="G267" s="3" t="inlineStr">
        <is>
          <t>High</t>
        </is>
      </c>
      <c r="H267" s="3" t="inlineStr">
        <is>
          <t>Approved BOQ</t>
        </is>
      </c>
      <c r="I267" s="2" t="inlineStr">
        <is>
          <t>Derived from approved BOQ formula =SUM(C234,C236:C242)</t>
        </is>
      </c>
    </row>
    <row r="268">
      <c r="A268" s="2" t="inlineStr">
        <is>
          <t>50111-SCC-020</t>
        </is>
      </c>
      <c r="B268" s="2" t="inlineStr">
        <is>
          <t>Self Drilling, Tapping Metal Screws, Wafer Head 8G x 40mm</t>
        </is>
      </c>
      <c r="C268" s="3" t="inlineStr">
        <is>
          <t>each</t>
        </is>
      </c>
      <c r="D268" s="4" t="n">
        <v>200</v>
      </c>
      <c r="E268" s="4" t="n"/>
      <c r="F268" s="2">
        <f>IFERROR(D268*E268,"")</f>
        <v/>
      </c>
      <c r="G268" s="3" t="inlineStr">
        <is>
          <t>High</t>
        </is>
      </c>
      <c r="H268" s="3" t="inlineStr">
        <is>
          <t>Approved BOQ</t>
        </is>
      </c>
      <c r="I268" s="2" t="inlineStr">
        <is>
          <t>Baseline standard-house quantity</t>
        </is>
      </c>
    </row>
    <row r="269">
      <c r="A269" s="2" t="inlineStr">
        <is>
          <t>50111-SCC-018</t>
        </is>
      </c>
      <c r="B269" s="2" t="inlineStr">
        <is>
          <t>Self Drilling, Tapping Metal Screws, Wafer Head 8G x 16mm</t>
        </is>
      </c>
      <c r="C269" s="3" t="inlineStr">
        <is>
          <t>each</t>
        </is>
      </c>
      <c r="D269" s="4" t="n">
        <v>200</v>
      </c>
      <c r="E269" s="4" t="n"/>
      <c r="F269" s="2">
        <f>IFERROR(D269*E269,"")</f>
        <v/>
      </c>
      <c r="G269" s="3" t="inlineStr">
        <is>
          <t>High</t>
        </is>
      </c>
      <c r="H269" s="3" t="inlineStr">
        <is>
          <t>Approved BOQ</t>
        </is>
      </c>
      <c r="I269" s="2" t="inlineStr">
        <is>
          <t>Baseline standard-house quantity</t>
        </is>
      </c>
    </row>
    <row r="270">
      <c r="A270" s="2" t="inlineStr">
        <is>
          <t>50107-GRO-001</t>
        </is>
      </c>
      <c r="B270" s="2" t="inlineStr">
        <is>
          <t>Accessories | Grommet 35mm Dia</t>
        </is>
      </c>
      <c r="C270" s="3" t="inlineStr">
        <is>
          <t>pcs</t>
        </is>
      </c>
      <c r="D270" s="4" t="n">
        <v>75</v>
      </c>
      <c r="E270" s="4" t="n"/>
      <c r="F270" s="2">
        <f>IFERROR(D270*E270,"")</f>
        <v/>
      </c>
      <c r="G270" s="3" t="inlineStr">
        <is>
          <t>High</t>
        </is>
      </c>
      <c r="H270" s="3" t="inlineStr">
        <is>
          <t>Approved BOQ</t>
        </is>
      </c>
      <c r="I270" s="2" t="inlineStr">
        <is>
          <t>Baseline standard-house quantity</t>
        </is>
      </c>
    </row>
    <row r="271">
      <c r="A271" s="2" t="inlineStr">
        <is>
          <t>50119-ELC-015</t>
        </is>
      </c>
      <c r="B271" s="2" t="inlineStr">
        <is>
          <t>Smoke Detector Mains Powered (240Vac) with 9Vdc back-up</t>
        </is>
      </c>
      <c r="C271" s="3" t="inlineStr">
        <is>
          <t>pcs</t>
        </is>
      </c>
      <c r="D271" s="4" t="n">
        <v>5</v>
      </c>
      <c r="E271" s="4" t="n"/>
      <c r="F271" s="2">
        <f>IFERROR(D271*E271,"")</f>
        <v/>
      </c>
      <c r="G271" s="3" t="inlineStr">
        <is>
          <t>High</t>
        </is>
      </c>
      <c r="H271" s="3" t="inlineStr">
        <is>
          <t>Approved BOQ</t>
        </is>
      </c>
      <c r="I271" s="2" t="inlineStr">
        <is>
          <t>Baseline standard-house quantity</t>
        </is>
      </c>
    </row>
    <row r="272">
      <c r="A272" s="2" t="inlineStr">
        <is>
          <t>50129-FEX-001</t>
        </is>
      </c>
      <c r="B272" s="2" t="inlineStr">
        <is>
          <t>Fire Extinguisher - 4.5kg Dry Powder</t>
        </is>
      </c>
      <c r="C272" s="3" t="inlineStr">
        <is>
          <t>pcs</t>
        </is>
      </c>
      <c r="D272" s="4" t="n">
        <v>1</v>
      </c>
      <c r="E272" s="4" t="n"/>
      <c r="F272" s="2">
        <f>IFERROR(D272*E272,"")</f>
        <v/>
      </c>
      <c r="G272" s="3" t="inlineStr">
        <is>
          <t>High</t>
        </is>
      </c>
      <c r="H272" s="3" t="inlineStr">
        <is>
          <t>Approved BOQ</t>
        </is>
      </c>
      <c r="I272" s="2" t="inlineStr">
        <is>
          <t>Baseline standard-house quantity</t>
        </is>
      </c>
    </row>
    <row r="273">
      <c r="A273" s="2" t="inlineStr">
        <is>
          <t>50129-FBL-001</t>
        </is>
      </c>
      <c r="B273" s="2" t="inlineStr">
        <is>
          <t>Fire Blanket</t>
        </is>
      </c>
      <c r="C273" s="3" t="inlineStr">
        <is>
          <t>pcs</t>
        </is>
      </c>
      <c r="D273" s="4" t="n">
        <v>1</v>
      </c>
      <c r="E273" s="4" t="n"/>
      <c r="F273" s="2">
        <f>IFERROR(D273*E273,"")</f>
        <v/>
      </c>
      <c r="G273" s="3" t="inlineStr">
        <is>
          <t>High</t>
        </is>
      </c>
      <c r="H273" s="3" t="inlineStr">
        <is>
          <t>Approved BOQ</t>
        </is>
      </c>
      <c r="I273" s="2" t="inlineStr">
        <is>
          <t>Baseline standard-house quantity</t>
        </is>
      </c>
    </row>
    <row r="274">
      <c r="A274" s="16" t="inlineStr">
        <is>
          <t>50124 - STAIRS, RAMPS, &amp; BALUSTRADES</t>
        </is>
      </c>
    </row>
    <row r="275">
      <c r="A275" s="2" t="inlineStr">
        <is>
          <t>50107-GAP-002</t>
        </is>
      </c>
      <c r="B275" s="2" t="inlineStr">
        <is>
          <t>40mm OD Galvanised Pipe x 5800mm</t>
        </is>
      </c>
      <c r="C275" s="3" t="inlineStr">
        <is>
          <t>len</t>
        </is>
      </c>
      <c r="D275" s="4" t="n">
        <v>10</v>
      </c>
      <c r="E275" s="4" t="n"/>
      <c r="F275" s="2">
        <f>IFERROR(D275*E275,"")</f>
        <v/>
      </c>
      <c r="G275" s="3" t="inlineStr">
        <is>
          <t>High</t>
        </is>
      </c>
      <c r="H275" s="3" t="inlineStr">
        <is>
          <t>Approved BOQ</t>
        </is>
      </c>
      <c r="I275" s="2" t="inlineStr">
        <is>
          <t>Baseline standard-house quantity</t>
        </is>
      </c>
    </row>
    <row r="276">
      <c r="A276" s="2" t="inlineStr">
        <is>
          <t>50124-BAL-001</t>
        </is>
      </c>
      <c r="B276" s="2" t="inlineStr">
        <is>
          <t>No Slope Balustrade Panel 695 x 4000mm, 12mm Round Bars</t>
        </is>
      </c>
      <c r="C276" s="3" t="inlineStr">
        <is>
          <t>each</t>
        </is>
      </c>
      <c r="D276" s="4" t="n">
        <v>4</v>
      </c>
      <c r="E276" s="4" t="n"/>
      <c r="F276" s="2">
        <f>IFERROR(D276*E276,"")</f>
        <v/>
      </c>
      <c r="G276" s="3" t="inlineStr">
        <is>
          <t>High</t>
        </is>
      </c>
      <c r="H276" s="3" t="inlineStr">
        <is>
          <t>Approved BOQ</t>
        </is>
      </c>
      <c r="I276" s="2" t="inlineStr">
        <is>
          <t>Baseline standard-house quantity</t>
        </is>
      </c>
    </row>
    <row r="277">
      <c r="A277" s="2" t="inlineStr">
        <is>
          <t>50124-BAL-002</t>
        </is>
      </c>
      <c r="B277" s="2" t="inlineStr">
        <is>
          <t>37 Degree Slope Balustrade Panel 503 x 4000mm, 12mm Round Bars</t>
        </is>
      </c>
      <c r="C277" s="3" t="inlineStr">
        <is>
          <t>each</t>
        </is>
      </c>
      <c r="D277" s="4" t="n">
        <v>2</v>
      </c>
      <c r="E277" s="4" t="n"/>
      <c r="F277" s="2">
        <f>IFERROR(D277*E277,"")</f>
        <v/>
      </c>
      <c r="G277" s="3" t="inlineStr">
        <is>
          <t>High</t>
        </is>
      </c>
      <c r="H277" s="3" t="inlineStr">
        <is>
          <t>Approved BOQ</t>
        </is>
      </c>
      <c r="I277" s="2" t="inlineStr">
        <is>
          <t>Baseline standard-house quantity</t>
        </is>
      </c>
    </row>
    <row r="278">
      <c r="A278" s="2" t="inlineStr">
        <is>
          <t>50124-CLA-004</t>
        </is>
      </c>
      <c r="B278" s="2" t="inlineStr">
        <is>
          <t>Base Flange Type C, Part No. 131</t>
        </is>
      </c>
      <c r="C278" s="3" t="inlineStr">
        <is>
          <t>each</t>
        </is>
      </c>
      <c r="D278" s="4" t="n">
        <v>2</v>
      </c>
      <c r="E278" s="4" t="n"/>
      <c r="F278" s="2">
        <f>IFERROR(D278*E278,"")</f>
        <v/>
      </c>
      <c r="G278" s="3" t="inlineStr">
        <is>
          <t>High</t>
        </is>
      </c>
      <c r="H278" s="3" t="inlineStr">
        <is>
          <t>Approved BOQ</t>
        </is>
      </c>
      <c r="I278" s="2" t="inlineStr">
        <is>
          <t>Baseline standard-house quantity</t>
        </is>
      </c>
    </row>
    <row r="279">
      <c r="A279" s="2" t="inlineStr">
        <is>
          <t>50124-CLA-005</t>
        </is>
      </c>
      <c r="B279" s="2" t="inlineStr">
        <is>
          <t>Railing Base Flange Type C, Part No. 132</t>
        </is>
      </c>
      <c r="C279" s="3" t="inlineStr">
        <is>
          <t>each</t>
        </is>
      </c>
      <c r="D279" s="4" t="n">
        <v>13</v>
      </c>
      <c r="E279" s="4" t="n"/>
      <c r="F279" s="2">
        <f>IFERROR(D279*E279,"")</f>
        <v/>
      </c>
      <c r="G279" s="3" t="inlineStr">
        <is>
          <t>High</t>
        </is>
      </c>
      <c r="H279" s="3" t="inlineStr">
        <is>
          <t>Approved BOQ</t>
        </is>
      </c>
      <c r="I279" s="2" t="inlineStr">
        <is>
          <t>Baseline standard-house quantity</t>
        </is>
      </c>
    </row>
    <row r="280">
      <c r="A280" s="2" t="inlineStr">
        <is>
          <t>50124-CLA-018</t>
        </is>
      </c>
      <c r="B280" s="2" t="inlineStr">
        <is>
          <t>Double Sided Fixing Bracket Type C, Part No. 198</t>
        </is>
      </c>
      <c r="C280" s="3" t="inlineStr">
        <is>
          <t>each</t>
        </is>
      </c>
      <c r="D280" s="4" t="n">
        <v>4</v>
      </c>
      <c r="E280" s="4" t="n"/>
      <c r="F280" s="2">
        <f>IFERROR(D280*E280,"")</f>
        <v/>
      </c>
      <c r="G280" s="3" t="inlineStr">
        <is>
          <t>High</t>
        </is>
      </c>
      <c r="H280" s="3" t="inlineStr">
        <is>
          <t>Approved BOQ</t>
        </is>
      </c>
      <c r="I280" s="2" t="inlineStr">
        <is>
          <t>Baseline standard-house quantity</t>
        </is>
      </c>
    </row>
    <row r="281">
      <c r="A281" s="2" t="inlineStr">
        <is>
          <t>50124-CLA-002</t>
        </is>
      </c>
      <c r="B281" s="2" t="inlineStr">
        <is>
          <t>Two Socket Cross Type C, Part No. 119</t>
        </is>
      </c>
      <c r="C281" s="3" t="inlineStr">
        <is>
          <t>each</t>
        </is>
      </c>
      <c r="D281" s="4" t="n">
        <v>8</v>
      </c>
      <c r="E281" s="4" t="n"/>
      <c r="F281" s="2">
        <f>IFERROR(D281*E281,"")</f>
        <v/>
      </c>
      <c r="G281" s="3" t="inlineStr">
        <is>
          <t>High</t>
        </is>
      </c>
      <c r="H281" s="3" t="inlineStr">
        <is>
          <t>Approved BOQ</t>
        </is>
      </c>
      <c r="I281" s="2" t="inlineStr">
        <is>
          <t>Baseline standard-house quantity</t>
        </is>
      </c>
    </row>
    <row r="282">
      <c r="A282" s="2" t="inlineStr">
        <is>
          <t>50124-CLA-001</t>
        </is>
      </c>
      <c r="B282" s="2" t="inlineStr">
        <is>
          <t>Reducing Short Tee Type C, Part No. 101</t>
        </is>
      </c>
      <c r="C282" s="3" t="inlineStr">
        <is>
          <t>each</t>
        </is>
      </c>
      <c r="D282" s="4" t="n">
        <v>12</v>
      </c>
      <c r="E282" s="4" t="n"/>
      <c r="F282" s="2">
        <f>IFERROR(D282*E282,"")</f>
        <v/>
      </c>
      <c r="G282" s="3" t="inlineStr">
        <is>
          <t>High</t>
        </is>
      </c>
      <c r="H282" s="3" t="inlineStr">
        <is>
          <t>Approved BOQ</t>
        </is>
      </c>
      <c r="I282" s="2" t="inlineStr">
        <is>
          <t>Baseline standard-house quantity</t>
        </is>
      </c>
    </row>
    <row r="283">
      <c r="A283" s="2" t="inlineStr">
        <is>
          <t>50124-CLA-023</t>
        </is>
      </c>
      <c r="B283" s="2" t="inlineStr">
        <is>
          <t>Variable Elbow Type , Part No. DDA-5</t>
        </is>
      </c>
      <c r="C283" s="3" t="inlineStr">
        <is>
          <t>each</t>
        </is>
      </c>
      <c r="D283" s="4" t="n">
        <v>6</v>
      </c>
      <c r="E283" s="4" t="n"/>
      <c r="F283" s="2">
        <f>IFERROR(D283*E283,"")</f>
        <v/>
      </c>
      <c r="G283" s="3" t="inlineStr">
        <is>
          <t>High</t>
        </is>
      </c>
      <c r="H283" s="3" t="inlineStr">
        <is>
          <t>Approved BOQ</t>
        </is>
      </c>
      <c r="I283" s="2" t="inlineStr">
        <is>
          <t>Baseline standard-house quantity</t>
        </is>
      </c>
    </row>
    <row r="284">
      <c r="A284" s="2" t="inlineStr">
        <is>
          <t>50124-CLA-019</t>
        </is>
      </c>
      <c r="B284" s="2" t="inlineStr">
        <is>
          <t>40 Diameter x 90 Degree Elbow, Part No. DDA-1</t>
        </is>
      </c>
      <c r="C284" s="3" t="inlineStr">
        <is>
          <t>each</t>
        </is>
      </c>
      <c r="D284" s="4" t="n">
        <v>2</v>
      </c>
      <c r="E284" s="4" t="n"/>
      <c r="F284" s="2">
        <f>IFERROR(D284*E284,"")</f>
        <v/>
      </c>
      <c r="G284" s="3" t="inlineStr">
        <is>
          <t>High</t>
        </is>
      </c>
      <c r="H284" s="3" t="inlineStr">
        <is>
          <t>Approved BOQ</t>
        </is>
      </c>
      <c r="I284" s="2" t="inlineStr">
        <is>
          <t>Baseline standard-house quantity</t>
        </is>
      </c>
    </row>
    <row r="285">
      <c r="A285" s="2" t="inlineStr">
        <is>
          <t>50124-CLA-025</t>
        </is>
      </c>
      <c r="B285" s="2" t="inlineStr">
        <is>
          <t>Adjustable Tee 30-60 Degree Type C, Part No. 129</t>
        </is>
      </c>
      <c r="C285" s="3" t="inlineStr">
        <is>
          <t>each</t>
        </is>
      </c>
      <c r="D285" s="4" t="n">
        <v>3</v>
      </c>
      <c r="E285" s="4" t="n"/>
      <c r="F285" s="2">
        <f>IFERROR(D285*E285,"")</f>
        <v/>
      </c>
      <c r="G285" s="3" t="inlineStr">
        <is>
          <t>High</t>
        </is>
      </c>
      <c r="H285" s="3" t="inlineStr">
        <is>
          <t>Approved BOQ</t>
        </is>
      </c>
      <c r="I285" s="2" t="inlineStr">
        <is>
          <t>Baseline standard-house quantity</t>
        </is>
      </c>
    </row>
    <row r="286">
      <c r="A286" s="2" t="inlineStr">
        <is>
          <t>50124-CLA-016</t>
        </is>
      </c>
      <c r="B286" s="2" t="inlineStr">
        <is>
          <t>Single Swivel Type C, Part No. 173</t>
        </is>
      </c>
      <c r="C286" s="3" t="inlineStr">
        <is>
          <t>each</t>
        </is>
      </c>
      <c r="D286" s="4" t="n">
        <v>8</v>
      </c>
      <c r="E286" s="4" t="n"/>
      <c r="F286" s="2">
        <f>IFERROR(D286*E286,"")</f>
        <v/>
      </c>
      <c r="G286" s="3" t="inlineStr">
        <is>
          <t>High</t>
        </is>
      </c>
      <c r="H286" s="3" t="inlineStr">
        <is>
          <t>Approved BOQ</t>
        </is>
      </c>
      <c r="I286" s="2" t="inlineStr">
        <is>
          <t>Baseline standard-house quantity</t>
        </is>
      </c>
    </row>
    <row r="287">
      <c r="A287" s="2" t="inlineStr">
        <is>
          <t>50124-CLA-022</t>
        </is>
      </c>
      <c r="B287" s="2" t="inlineStr">
        <is>
          <t>Single Male Swivel Handrail Saddle, Type C, Part No. DDA-4</t>
        </is>
      </c>
      <c r="C287" s="3" t="inlineStr">
        <is>
          <t>each</t>
        </is>
      </c>
      <c r="D287" s="4" t="n">
        <v>30</v>
      </c>
      <c r="E287" s="4" t="n"/>
      <c r="F287" s="2">
        <f>IFERROR(D287*E287,"")</f>
        <v/>
      </c>
      <c r="G287" s="3" t="inlineStr">
        <is>
          <t>High</t>
        </is>
      </c>
      <c r="H287" s="3" t="inlineStr">
        <is>
          <t>Approved BOQ</t>
        </is>
      </c>
      <c r="I287" s="2" t="inlineStr">
        <is>
          <t>Baseline standard-house quantity</t>
        </is>
      </c>
    </row>
    <row r="288">
      <c r="A288" s="2" t="inlineStr">
        <is>
          <t>50124-CLA-014</t>
        </is>
      </c>
      <c r="B288" s="2" t="inlineStr">
        <is>
          <t>Single Sided Mesh Panel Type C, Part No. 170</t>
        </is>
      </c>
      <c r="C288" s="3" t="inlineStr">
        <is>
          <t>each</t>
        </is>
      </c>
      <c r="D288" s="4" t="n">
        <v>30</v>
      </c>
      <c r="E288" s="4" t="n"/>
      <c r="F288" s="2">
        <f>IFERROR(D288*E288,"")</f>
        <v/>
      </c>
      <c r="G288" s="3" t="inlineStr">
        <is>
          <t>High</t>
        </is>
      </c>
      <c r="H288" s="3" t="inlineStr">
        <is>
          <t>Approved BOQ</t>
        </is>
      </c>
      <c r="I288" s="2" t="inlineStr">
        <is>
          <t>Baseline standard-house quantity</t>
        </is>
      </c>
    </row>
    <row r="289">
      <c r="A289" s="2" t="inlineStr">
        <is>
          <t>50124-CLA-009</t>
        </is>
      </c>
      <c r="B289" s="2" t="inlineStr">
        <is>
          <t>Internal Joint Type C, Part No. 150</t>
        </is>
      </c>
      <c r="C289" s="3" t="inlineStr">
        <is>
          <t>each</t>
        </is>
      </c>
      <c r="D289" s="4" t="n">
        <v>16</v>
      </c>
      <c r="E289" s="4" t="n"/>
      <c r="F289" s="2">
        <f>IFERROR(D289*E289,"")</f>
        <v/>
      </c>
      <c r="G289" s="3" t="inlineStr">
        <is>
          <t>High</t>
        </is>
      </c>
      <c r="H289" s="3" t="inlineStr">
        <is>
          <t>Approved BOQ</t>
        </is>
      </c>
      <c r="I289" s="2" t="inlineStr">
        <is>
          <t>Baseline standard-house quantity</t>
        </is>
      </c>
    </row>
    <row r="290">
      <c r="A290" s="2" t="inlineStr">
        <is>
          <t>50124-CLA-006</t>
        </is>
      </c>
      <c r="B290" s="2" t="inlineStr">
        <is>
          <t>Plastic End Cap Type C 133</t>
        </is>
      </c>
      <c r="C290" s="3" t="inlineStr">
        <is>
          <t>each</t>
        </is>
      </c>
      <c r="D290" s="4" t="n">
        <v>2</v>
      </c>
      <c r="E290" s="4" t="n"/>
      <c r="F290" s="2">
        <f>IFERROR(D290*E290,"")</f>
        <v/>
      </c>
      <c r="G290" s="3" t="inlineStr">
        <is>
          <t>High</t>
        </is>
      </c>
      <c r="H290" s="3" t="inlineStr">
        <is>
          <t>Approved BOQ</t>
        </is>
      </c>
      <c r="I290" s="2" t="inlineStr">
        <is>
          <t>Baseline standard-house quantity</t>
        </is>
      </c>
    </row>
    <row r="291">
      <c r="A291" s="2" t="inlineStr">
        <is>
          <t>50124-STR-001</t>
        </is>
      </c>
      <c r="B291" s="2" t="inlineStr">
        <is>
          <t>Stair Stringer STR-1 - Prefabricated Complete Set (L/R) 5 RISER</t>
        </is>
      </c>
      <c r="C291" s="3" t="inlineStr">
        <is>
          <t>Pair</t>
        </is>
      </c>
      <c r="D291" s="4" t="n">
        <v>1</v>
      </c>
      <c r="E291" s="4" t="n"/>
      <c r="F291" s="2">
        <f>IFERROR(D291*E291,"")</f>
        <v/>
      </c>
      <c r="G291" s="3" t="inlineStr">
        <is>
          <t>High</t>
        </is>
      </c>
      <c r="H291" s="3" t="inlineStr">
        <is>
          <t>Approved BOQ</t>
        </is>
      </c>
      <c r="I291" s="2" t="inlineStr">
        <is>
          <t>Baseline standard-house quantity</t>
        </is>
      </c>
    </row>
    <row r="292">
      <c r="A292" s="2" t="inlineStr">
        <is>
          <t>50124-STR-002</t>
        </is>
      </c>
      <c r="B292" s="2" t="inlineStr">
        <is>
          <t>Stair Stringer STR-2 - Prefabricated Complete Set (L/R) 9 RISER</t>
        </is>
      </c>
      <c r="C292" s="3" t="inlineStr">
        <is>
          <t>Pair</t>
        </is>
      </c>
      <c r="D292" s="4" t="n">
        <v>1</v>
      </c>
      <c r="E292" s="4" t="n"/>
      <c r="F292" s="2">
        <f>IFERROR(D292*E292,"")</f>
        <v/>
      </c>
      <c r="G292" s="3" t="inlineStr">
        <is>
          <t>High</t>
        </is>
      </c>
      <c r="H292" s="3" t="inlineStr">
        <is>
          <t>Approved BOQ</t>
        </is>
      </c>
      <c r="I292" s="2" t="inlineStr">
        <is>
          <t>Baseline standard-house quantity</t>
        </is>
      </c>
    </row>
    <row r="293">
      <c r="A293" s="2" t="inlineStr">
        <is>
          <t>50111-DYN-012</t>
        </is>
      </c>
      <c r="B293" s="2" t="inlineStr">
        <is>
          <t>M12 x 75mm Galvanised Dyna Bolts</t>
        </is>
      </c>
      <c r="C293" s="3" t="inlineStr">
        <is>
          <t>each</t>
        </is>
      </c>
      <c r="D293" s="4" t="n">
        <v>8</v>
      </c>
      <c r="E293" s="4" t="n"/>
      <c r="F293" s="2">
        <f>IFERROR(D293*E293,"")</f>
        <v/>
      </c>
      <c r="G293" s="3" t="inlineStr">
        <is>
          <t>High</t>
        </is>
      </c>
      <c r="H293" s="3" t="inlineStr">
        <is>
          <t>Approved BOQ</t>
        </is>
      </c>
      <c r="I293" s="2" t="inlineStr">
        <is>
          <t>Baseline standard-house quantity</t>
        </is>
      </c>
    </row>
    <row r="294">
      <c r="A294" s="2" t="inlineStr">
        <is>
          <t>50111-BOL-005</t>
        </is>
      </c>
      <c r="B294" s="2" t="inlineStr">
        <is>
          <t>M12 x 40mm Hex Head Galv. Bolts with Nuts &amp; Washers</t>
        </is>
      </c>
      <c r="C294" s="3" t="inlineStr">
        <is>
          <t>each</t>
        </is>
      </c>
      <c r="D294" s="4" t="n">
        <v>42</v>
      </c>
      <c r="E294" s="4" t="n"/>
      <c r="F294" s="2">
        <f>IFERROR(D294*E294,"")</f>
        <v/>
      </c>
      <c r="G294" s="3" t="inlineStr">
        <is>
          <t>High</t>
        </is>
      </c>
      <c r="H294" s="3" t="inlineStr">
        <is>
          <t>Approved BOQ</t>
        </is>
      </c>
      <c r="I294" s="2" t="inlineStr">
        <is>
          <t>Baseline standard-house quantity</t>
        </is>
      </c>
    </row>
    <row r="295">
      <c r="A295" s="2" t="inlineStr">
        <is>
          <t>50111-BOL-002</t>
        </is>
      </c>
      <c r="B295" s="2" t="inlineStr">
        <is>
          <t>Fixing | M8 x 60 Cup Head Bolt and Nut Grade 4.6 GALV.</t>
        </is>
      </c>
      <c r="C295" s="3" t="inlineStr">
        <is>
          <t>each</t>
        </is>
      </c>
      <c r="D295" s="4" t="n">
        <v>42</v>
      </c>
      <c r="E295" s="4" t="n"/>
      <c r="F295" s="2">
        <f>IFERROR(D295*E295,"")</f>
        <v/>
      </c>
      <c r="G295" s="3" t="inlineStr">
        <is>
          <t>High</t>
        </is>
      </c>
      <c r="H295" s="3" t="inlineStr">
        <is>
          <t>Approved BOQ</t>
        </is>
      </c>
      <c r="I295" s="2" t="inlineStr">
        <is>
          <t>Baseline standard-house quantity</t>
        </is>
      </c>
    </row>
    <row r="296">
      <c r="A296" s="2" t="inlineStr">
        <is>
          <t>50111-BOL-003</t>
        </is>
      </c>
      <c r="B296" s="2" t="inlineStr">
        <is>
          <t>Fixing | M8 x 19 X 1.6mm (1/4") Flat Washer GALV.</t>
        </is>
      </c>
      <c r="C296" s="3" t="inlineStr">
        <is>
          <t>each</t>
        </is>
      </c>
      <c r="D296" s="4" t="n">
        <v>42</v>
      </c>
      <c r="E296" s="4" t="n"/>
      <c r="F296" s="2">
        <f>IFERROR(D296*E296,"")</f>
        <v/>
      </c>
      <c r="G296" s="3" t="inlineStr">
        <is>
          <t>High</t>
        </is>
      </c>
      <c r="H296" s="3" t="inlineStr">
        <is>
          <t>Approved BOQ</t>
        </is>
      </c>
      <c r="I296" s="2" t="inlineStr">
        <is>
          <t>Baseline standard-house quantity</t>
        </is>
      </c>
    </row>
    <row r="297">
      <c r="A297" s="2" t="inlineStr">
        <is>
          <t>50107-SHS-003</t>
        </is>
      </c>
      <c r="B297" s="2" t="inlineStr">
        <is>
          <t>Steel Post | 75 x 4mm SHS, Q345, HDG600, 2.5m</t>
        </is>
      </c>
      <c r="C297" s="3" t="inlineStr">
        <is>
          <t>each</t>
        </is>
      </c>
      <c r="D297" s="4" t="n">
        <v>3</v>
      </c>
      <c r="E297" s="4" t="n"/>
      <c r="F297" s="2">
        <f>IFERROR(D297*E297,"")</f>
        <v/>
      </c>
      <c r="G297" s="3" t="inlineStr">
        <is>
          <t>High</t>
        </is>
      </c>
      <c r="H297" s="3" t="inlineStr">
        <is>
          <t>Approved BOQ</t>
        </is>
      </c>
      <c r="I297" s="2" t="inlineStr">
        <is>
          <t>Baseline standard-house quantity</t>
        </is>
      </c>
    </row>
    <row r="298">
      <c r="A298" s="2" t="inlineStr">
        <is>
          <t>50107-PIH-00A</t>
        </is>
      </c>
      <c r="B298" s="2" t="inlineStr">
        <is>
          <t>PH (Corner) | PHA Bracket, Q340, HDG</t>
        </is>
      </c>
      <c r="C298" s="3" t="inlineStr">
        <is>
          <t>each</t>
        </is>
      </c>
      <c r="D298" s="4" t="n">
        <v>3</v>
      </c>
      <c r="E298" s="4" t="n"/>
      <c r="F298" s="2">
        <f>IFERROR(D298*E298,"")</f>
        <v/>
      </c>
      <c r="G298" s="3" t="inlineStr">
        <is>
          <t>High</t>
        </is>
      </c>
      <c r="H298" s="3" t="inlineStr">
        <is>
          <t>Approved BOQ</t>
        </is>
      </c>
      <c r="I298" s="2" t="inlineStr">
        <is>
          <t>Baseline standard-house quantity</t>
        </is>
      </c>
    </row>
    <row r="299">
      <c r="A299" s="2" t="inlineStr">
        <is>
          <t>50107-ANC-002</t>
        </is>
      </c>
      <c r="B299" s="2" t="inlineStr">
        <is>
          <t>HDG Support Angle VA2 | 75 x 75 x 6mm</t>
        </is>
      </c>
      <c r="C299" s="3" t="inlineStr">
        <is>
          <t>each</t>
        </is>
      </c>
      <c r="D299" s="4" t="n">
        <v>1</v>
      </c>
      <c r="E299" s="4" t="n"/>
      <c r="F299" s="2">
        <f>IFERROR(D299*E299,"")</f>
        <v/>
      </c>
      <c r="G299" s="3" t="inlineStr">
        <is>
          <t>High</t>
        </is>
      </c>
      <c r="H299" s="3" t="inlineStr">
        <is>
          <t>Approved BOQ</t>
        </is>
      </c>
      <c r="I299" s="2" t="inlineStr">
        <is>
          <t>Baseline standard-house quantity</t>
        </is>
      </c>
    </row>
    <row r="300">
      <c r="A300" s="2" t="inlineStr">
        <is>
          <t>50107-FCP-00C</t>
        </is>
      </c>
      <c r="B300" s="2" t="inlineStr">
        <is>
          <t>1100 x 1100 1.8kpa  Floor Panel</t>
        </is>
      </c>
      <c r="C300" s="3" t="inlineStr">
        <is>
          <t>each</t>
        </is>
      </c>
      <c r="D300" s="4" t="n">
        <v>1</v>
      </c>
      <c r="E300" s="4" t="n"/>
      <c r="F300" s="2">
        <f>IFERROR(D300*E300,"")</f>
        <v/>
      </c>
      <c r="G300" s="3" t="inlineStr">
        <is>
          <t>High</t>
        </is>
      </c>
      <c r="H300" s="3" t="inlineStr">
        <is>
          <t>Approved BOQ</t>
        </is>
      </c>
      <c r="I300" s="2" t="inlineStr">
        <is>
          <t>Baseline standard-house quantity</t>
        </is>
      </c>
    </row>
    <row r="301">
      <c r="A301" s="2" t="inlineStr"/>
      <c r="B301" s="2" t="inlineStr">
        <is>
          <t>Floor Bearer 1100mm, 1.8Kpa</t>
        </is>
      </c>
      <c r="C301" s="3" t="inlineStr">
        <is>
          <t>pair</t>
        </is>
      </c>
      <c r="D301" s="4" t="n">
        <v>1</v>
      </c>
      <c r="E301" s="4" t="n"/>
      <c r="F301" s="2">
        <f>IFERROR(D301*E301,"")</f>
        <v/>
      </c>
      <c r="G301" s="3" t="inlineStr">
        <is>
          <t>High</t>
        </is>
      </c>
      <c r="H301" s="3" t="inlineStr">
        <is>
          <t>Approved BOQ</t>
        </is>
      </c>
      <c r="I301" s="2" t="inlineStr">
        <is>
          <t>Baseline standard-house quantity</t>
        </is>
      </c>
    </row>
    <row r="302">
      <c r="A302" s="2" t="inlineStr"/>
      <c r="B302" s="2" t="inlineStr">
        <is>
          <t>C150 Floor Joist, 970mm</t>
        </is>
      </c>
      <c r="C302" s="3" t="inlineStr">
        <is>
          <t>len</t>
        </is>
      </c>
      <c r="D302" s="4" t="n">
        <v>4</v>
      </c>
      <c r="E302" s="4" t="n"/>
      <c r="F302" s="2">
        <f>IFERROR(D302*E302,"")</f>
        <v/>
      </c>
      <c r="G302" s="3" t="inlineStr">
        <is>
          <t>High</t>
        </is>
      </c>
      <c r="H302" s="3" t="inlineStr">
        <is>
          <t>Approved BOQ</t>
        </is>
      </c>
      <c r="I302" s="2" t="inlineStr">
        <is>
          <t>Baseline standard-house quantity</t>
        </is>
      </c>
    </row>
    <row r="303">
      <c r="A303" s="2" t="inlineStr">
        <is>
          <t>50106-STT-003</t>
        </is>
      </c>
      <c r="B303" s="2" t="inlineStr">
        <is>
          <t>Step Treads | Hardwood 125mm x 50mm, 1200mm</t>
        </is>
      </c>
      <c r="C303" s="3" t="inlineStr">
        <is>
          <t>each</t>
        </is>
      </c>
      <c r="D303" s="4" t="n">
        <v>28</v>
      </c>
      <c r="E303" s="4" t="n"/>
      <c r="F303" s="2">
        <f>IFERROR(D303*E303,"")</f>
        <v/>
      </c>
      <c r="G303" s="3" t="inlineStr">
        <is>
          <t>High</t>
        </is>
      </c>
      <c r="H303" s="3" t="inlineStr">
        <is>
          <t>Approved BOQ</t>
        </is>
      </c>
      <c r="I303" s="2" t="inlineStr">
        <is>
          <t>Baseline standard-house quantity</t>
        </is>
      </c>
    </row>
    <row r="304">
      <c r="A304" s="16" t="inlineStr">
        <is>
          <t>50129 - FURNITURE FITTINGS &amp; EQUIPMENT (FFE)</t>
        </is>
      </c>
    </row>
    <row r="305">
      <c r="A305" s="2" t="inlineStr">
        <is>
          <t>50129-WCP-005</t>
        </is>
      </c>
      <c r="B305" s="2" t="inlineStr">
        <is>
          <t>FFE | Toilet Suite P-Trap - Water Closet Toilet Pan, complete with cistern, toilet seat, &amp; connectors.</t>
        </is>
      </c>
      <c r="C305" s="3" t="inlineStr">
        <is>
          <t>each</t>
        </is>
      </c>
      <c r="D305" s="4" t="n">
        <v>1</v>
      </c>
      <c r="E305" s="4" t="n"/>
      <c r="F305" s="2">
        <f>IFERROR(D305*E305,"")</f>
        <v/>
      </c>
      <c r="G305" s="3" t="inlineStr">
        <is>
          <t>High</t>
        </is>
      </c>
      <c r="H305" s="3" t="inlineStr">
        <is>
          <t>Approved BOQ</t>
        </is>
      </c>
      <c r="I305" s="2" t="inlineStr">
        <is>
          <t>Baseline standard-house quantity</t>
        </is>
      </c>
    </row>
    <row r="306">
      <c r="A306" s="2" t="inlineStr">
        <is>
          <t>50129-PAP-001</t>
        </is>
      </c>
      <c r="B306" s="2" t="inlineStr">
        <is>
          <t>FFE | Toilet Roll Holder, Chrome Finish 185 x 95.5mm</t>
        </is>
      </c>
      <c r="C306" s="3" t="inlineStr">
        <is>
          <t>each</t>
        </is>
      </c>
      <c r="D306" s="4" t="n">
        <v>1</v>
      </c>
      <c r="E306" s="4" t="n"/>
      <c r="F306" s="2">
        <f>IFERROR(D306*E306,"")</f>
        <v/>
      </c>
      <c r="G306" s="3" t="inlineStr">
        <is>
          <t>High</t>
        </is>
      </c>
      <c r="H306" s="3" t="inlineStr">
        <is>
          <t>Approved BOQ</t>
        </is>
      </c>
      <c r="I306" s="2" t="inlineStr">
        <is>
          <t>Baseline standard-house quantity</t>
        </is>
      </c>
    </row>
    <row r="307">
      <c r="A307" s="2" t="inlineStr">
        <is>
          <t>50129-MIR-005</t>
        </is>
      </c>
      <c r="B307" s="2" t="inlineStr">
        <is>
          <t>FFE | Bathroom Mirror, Everton Polished, Flat Edge Mirror, 600 x 900mm</t>
        </is>
      </c>
      <c r="C307" s="3" t="inlineStr">
        <is>
          <t>each</t>
        </is>
      </c>
      <c r="D307" s="4" t="n">
        <v>1</v>
      </c>
      <c r="E307" s="4" t="n"/>
      <c r="F307" s="2">
        <f>IFERROR(D307*E307,"")</f>
        <v/>
      </c>
      <c r="G307" s="3" t="inlineStr">
        <is>
          <t>High</t>
        </is>
      </c>
      <c r="H307" s="3" t="inlineStr">
        <is>
          <t>Approved BOQ</t>
        </is>
      </c>
      <c r="I307" s="2" t="inlineStr">
        <is>
          <t>Baseline standard-house quantity</t>
        </is>
      </c>
    </row>
    <row r="308">
      <c r="A308" s="2" t="inlineStr">
        <is>
          <t>50129-VAN-001</t>
        </is>
      </c>
      <c r="B308" s="2" t="inlineStr">
        <is>
          <t>FFE | Vanity Basin  with one tapholes and 650mm  cabinet stand</t>
        </is>
      </c>
      <c r="C308" s="3" t="inlineStr">
        <is>
          <t>each</t>
        </is>
      </c>
      <c r="D308" s="4" t="n">
        <v>1</v>
      </c>
      <c r="E308" s="4" t="n"/>
      <c r="F308" s="2">
        <f>IFERROR(D308*E308,"")</f>
        <v/>
      </c>
      <c r="G308" s="3" t="inlineStr">
        <is>
          <t>High</t>
        </is>
      </c>
      <c r="H308" s="3" t="inlineStr">
        <is>
          <t>Approved BOQ</t>
        </is>
      </c>
      <c r="I308" s="2" t="inlineStr">
        <is>
          <t>Baseline standard-house quantity</t>
        </is>
      </c>
    </row>
    <row r="309">
      <c r="A309" s="2" t="inlineStr">
        <is>
          <t>50129-TSV-002</t>
        </is>
      </c>
      <c r="B309" s="2" t="inlineStr">
        <is>
          <t>FFE | Hand Basin  Taps</t>
        </is>
      </c>
      <c r="C309" s="3" t="inlineStr">
        <is>
          <t>each</t>
        </is>
      </c>
      <c r="D309" s="4" t="n">
        <v>1</v>
      </c>
      <c r="E309" s="4" t="n"/>
      <c r="F309" s="2">
        <f>IFERROR(D309*E309,"")</f>
        <v/>
      </c>
      <c r="G309" s="3" t="inlineStr">
        <is>
          <t>High</t>
        </is>
      </c>
      <c r="H309" s="3" t="inlineStr">
        <is>
          <t>Approved BOQ</t>
        </is>
      </c>
      <c r="I309" s="2" t="inlineStr">
        <is>
          <t>Baseline standard-house quantity</t>
        </is>
      </c>
    </row>
    <row r="310">
      <c r="A310" s="2" t="inlineStr">
        <is>
          <t>50129-SOA-001</t>
        </is>
      </c>
      <c r="B310" s="2" t="inlineStr">
        <is>
          <t>FFE | Soap holder</t>
        </is>
      </c>
      <c r="C310" s="3" t="inlineStr">
        <is>
          <t>each</t>
        </is>
      </c>
      <c r="D310" s="4" t="n">
        <v>1</v>
      </c>
      <c r="E310" s="4" t="n"/>
      <c r="F310" s="2">
        <f>IFERROR(D310*E310,"")</f>
        <v/>
      </c>
      <c r="G310" s="3" t="inlineStr">
        <is>
          <t>High</t>
        </is>
      </c>
      <c r="H310" s="3" t="inlineStr">
        <is>
          <t>Approved BOQ</t>
        </is>
      </c>
      <c r="I310" s="2" t="inlineStr">
        <is>
          <t>Baseline standard-house quantity</t>
        </is>
      </c>
    </row>
    <row r="311">
      <c r="A311" s="2" t="inlineStr">
        <is>
          <t>50129-TSK-001</t>
        </is>
      </c>
      <c r="B311" s="2" t="inlineStr">
        <is>
          <t>FFE | Kitchen Tap</t>
        </is>
      </c>
      <c r="C311" s="3" t="inlineStr">
        <is>
          <t>each</t>
        </is>
      </c>
      <c r="D311" s="4" t="n">
        <v>1</v>
      </c>
      <c r="E311" s="4" t="n"/>
      <c r="F311" s="2">
        <f>IFERROR(D311*E311,"")</f>
        <v/>
      </c>
      <c r="G311" s="3" t="inlineStr">
        <is>
          <t>High</t>
        </is>
      </c>
      <c r="H311" s="3" t="inlineStr">
        <is>
          <t>Approved BOQ</t>
        </is>
      </c>
      <c r="I311" s="2" t="inlineStr">
        <is>
          <t>Baseline standard-house quantity</t>
        </is>
      </c>
    </row>
    <row r="312">
      <c r="A312" s="2" t="inlineStr">
        <is>
          <t>50129-KSS-002</t>
        </is>
      </c>
      <c r="B312" s="2" t="inlineStr">
        <is>
          <t>FFE | Kitchen Sink, 1000 x 500 x 200mm w/ plug &amp; Waste</t>
        </is>
      </c>
      <c r="C312" s="3" t="inlineStr">
        <is>
          <t>each</t>
        </is>
      </c>
      <c r="D312" s="4" t="n">
        <v>1</v>
      </c>
      <c r="E312" s="4" t="n"/>
      <c r="F312" s="2">
        <f>IFERROR(D312*E312,"")</f>
        <v/>
      </c>
      <c r="G312" s="3" t="inlineStr">
        <is>
          <t>High</t>
        </is>
      </c>
      <c r="H312" s="3" t="inlineStr">
        <is>
          <t>Approved BOQ</t>
        </is>
      </c>
      <c r="I312" s="2" t="inlineStr">
        <is>
          <t>Baseline standard-house quantity</t>
        </is>
      </c>
    </row>
    <row r="313">
      <c r="A313" s="2" t="inlineStr">
        <is>
          <t>50129-SHW-001</t>
        </is>
      </c>
      <c r="B313" s="2" t="inlineStr">
        <is>
          <t>FFE | Shower Tray 900 x 900  w/ drain plug</t>
        </is>
      </c>
      <c r="C313" s="3" t="inlineStr">
        <is>
          <t>each</t>
        </is>
      </c>
      <c r="D313" s="4" t="n">
        <v>1</v>
      </c>
      <c r="E313" s="4" t="n"/>
      <c r="F313" s="2">
        <f>IFERROR(D313*E313,"")</f>
        <v/>
      </c>
      <c r="G313" s="3" t="inlineStr">
        <is>
          <t>High</t>
        </is>
      </c>
      <c r="H313" s="3" t="inlineStr">
        <is>
          <t>Approved BOQ</t>
        </is>
      </c>
      <c r="I313" s="2" t="inlineStr">
        <is>
          <t>Baseline standard-house quantity</t>
        </is>
      </c>
    </row>
    <row r="314">
      <c r="A314" s="2" t="inlineStr">
        <is>
          <t>50129-SHC-002</t>
        </is>
      </c>
      <c r="B314" s="2" t="inlineStr">
        <is>
          <t>FFE | Shower Curtain  Rail</t>
        </is>
      </c>
      <c r="C314" s="3" t="inlineStr">
        <is>
          <t>each</t>
        </is>
      </c>
      <c r="D314" s="4" t="n">
        <v>1</v>
      </c>
      <c r="E314" s="4" t="n"/>
      <c r="F314" s="2">
        <f>IFERROR(D314*E314,"")</f>
        <v/>
      </c>
      <c r="G314" s="3" t="inlineStr">
        <is>
          <t>High</t>
        </is>
      </c>
      <c r="H314" s="3" t="inlineStr">
        <is>
          <t>Approved BOQ</t>
        </is>
      </c>
      <c r="I314" s="2" t="inlineStr">
        <is>
          <t>Baseline standard-house quantity</t>
        </is>
      </c>
    </row>
    <row r="315">
      <c r="A315" s="2" t="inlineStr">
        <is>
          <t>50129-TSS-002</t>
        </is>
      </c>
      <c r="B315" s="2" t="inlineStr">
        <is>
          <t>FFE | Shower Tap &amp; Rose Set  hot &amp; cold</t>
        </is>
      </c>
      <c r="C315" s="3" t="inlineStr">
        <is>
          <t>each</t>
        </is>
      </c>
      <c r="D315" s="4" t="n">
        <v>1</v>
      </c>
      <c r="E315" s="4" t="n"/>
      <c r="F315" s="2">
        <f>IFERROR(D315*E315,"")</f>
        <v/>
      </c>
      <c r="G315" s="3" t="inlineStr">
        <is>
          <t>High</t>
        </is>
      </c>
      <c r="H315" s="3" t="inlineStr">
        <is>
          <t>Approved BOQ</t>
        </is>
      </c>
      <c r="I315" s="2" t="inlineStr">
        <is>
          <t>Baseline standard-house quantity</t>
        </is>
      </c>
    </row>
    <row r="316">
      <c r="A316" s="2" t="inlineStr">
        <is>
          <t>50129-RAI-001</t>
        </is>
      </c>
      <c r="B316" s="2" t="inlineStr">
        <is>
          <t>FFE | Towel Rail</t>
        </is>
      </c>
      <c r="C316" s="3" t="inlineStr">
        <is>
          <t>each</t>
        </is>
      </c>
      <c r="D316" s="4" t="n">
        <v>1</v>
      </c>
      <c r="E316" s="4" t="n"/>
      <c r="F316" s="2">
        <f>IFERROR(D316*E316,"")</f>
        <v/>
      </c>
      <c r="G316" s="3" t="inlineStr">
        <is>
          <t>High</t>
        </is>
      </c>
      <c r="H316" s="3" t="inlineStr">
        <is>
          <t>Approved BOQ</t>
        </is>
      </c>
      <c r="I316" s="2" t="inlineStr">
        <is>
          <t>Baseline standard-house quantity</t>
        </is>
      </c>
    </row>
    <row r="317">
      <c r="A317" s="16" t="inlineStr">
        <is>
          <t>FFE | Kitchen and Cupboards | Kitchen Cabinets &amp; Drawers</t>
        </is>
      </c>
    </row>
    <row r="318">
      <c r="A318" s="2" t="inlineStr">
        <is>
          <t>50129-JOI-011</t>
        </is>
      </c>
      <c r="B318" s="2" t="inlineStr">
        <is>
          <t>Base Cabinet | 900mm Wx 561mmD x 720mmH</t>
        </is>
      </c>
      <c r="C318" s="3" t="inlineStr">
        <is>
          <t>each</t>
        </is>
      </c>
      <c r="D318" s="4" t="n">
        <v>1</v>
      </c>
      <c r="E318" s="4" t="n"/>
      <c r="F318" s="2">
        <f>IFERROR(D318*E318,"")</f>
        <v/>
      </c>
      <c r="G318" s="3" t="inlineStr">
        <is>
          <t>High</t>
        </is>
      </c>
      <c r="H318" s="3" t="inlineStr">
        <is>
          <t>Approved BOQ</t>
        </is>
      </c>
      <c r="I318" s="2" t="inlineStr">
        <is>
          <t>Baseline standard-house quantity</t>
        </is>
      </c>
    </row>
    <row r="319">
      <c r="A319" s="2" t="inlineStr">
        <is>
          <t>50129-JOI-011</t>
        </is>
      </c>
      <c r="B319" s="2" t="inlineStr">
        <is>
          <t>Base Cabinet | 450mm Wx 561mmD x 720mmH</t>
        </is>
      </c>
      <c r="C319" s="3" t="inlineStr">
        <is>
          <t>each</t>
        </is>
      </c>
      <c r="D319" s="4" t="n">
        <v>3</v>
      </c>
      <c r="E319" s="4" t="n"/>
      <c r="F319" s="2">
        <f>IFERROR(D319*E319,"")</f>
        <v/>
      </c>
      <c r="G319" s="3" t="inlineStr">
        <is>
          <t>High</t>
        </is>
      </c>
      <c r="H319" s="3" t="inlineStr">
        <is>
          <t>Approved BOQ</t>
        </is>
      </c>
      <c r="I319" s="2" t="inlineStr">
        <is>
          <t>Baseline standard-house quantity</t>
        </is>
      </c>
    </row>
    <row r="320">
      <c r="A320" s="2" t="inlineStr">
        <is>
          <t>50129-JOI-011</t>
        </is>
      </c>
      <c r="B320" s="2" t="inlineStr">
        <is>
          <t>Base Cabinet | 250mm Wx 561mmD x 720mmH</t>
        </is>
      </c>
      <c r="C320" s="3" t="inlineStr">
        <is>
          <t>each</t>
        </is>
      </c>
      <c r="D320" s="4" t="n">
        <v>1</v>
      </c>
      <c r="E320" s="4" t="n"/>
      <c r="F320" s="2">
        <f>IFERROR(D320*E320,"")</f>
        <v/>
      </c>
      <c r="G320" s="3" t="inlineStr">
        <is>
          <t>High</t>
        </is>
      </c>
      <c r="H320" s="3" t="inlineStr">
        <is>
          <t>Approved BOQ</t>
        </is>
      </c>
      <c r="I320" s="2" t="inlineStr">
        <is>
          <t>Baseline standard-house quantity</t>
        </is>
      </c>
    </row>
    <row r="321">
      <c r="A321" s="2" t="inlineStr">
        <is>
          <t>50129-JOI-012</t>
        </is>
      </c>
      <c r="B321" s="2" t="inlineStr">
        <is>
          <t>Drawer Cabinet | 450mm Wx 561mmD x 720mmH</t>
        </is>
      </c>
      <c r="C321" s="3" t="inlineStr">
        <is>
          <t>each</t>
        </is>
      </c>
      <c r="D321" s="4" t="n">
        <v>1</v>
      </c>
      <c r="E321" s="4" t="n"/>
      <c r="F321" s="2">
        <f>IFERROR(D321*E321,"")</f>
        <v/>
      </c>
      <c r="G321" s="3" t="inlineStr">
        <is>
          <t>High</t>
        </is>
      </c>
      <c r="H321" s="3" t="inlineStr">
        <is>
          <t>Approved BOQ</t>
        </is>
      </c>
      <c r="I321" s="2" t="inlineStr">
        <is>
          <t>Baseline standard-house quantity</t>
        </is>
      </c>
    </row>
    <row r="322">
      <c r="A322" s="2" t="inlineStr">
        <is>
          <t>50129-JOI-013</t>
        </is>
      </c>
      <c r="B322" s="2" t="inlineStr">
        <is>
          <t>Corner Base Cabinet | 900x 900mm Wx 561mmD x 720mmH</t>
        </is>
      </c>
      <c r="C322" s="3" t="inlineStr">
        <is>
          <t>each</t>
        </is>
      </c>
      <c r="D322" s="4" t="n">
        <v>1</v>
      </c>
      <c r="E322" s="4" t="n"/>
      <c r="F322" s="2">
        <f>IFERROR(D322*E322,"")</f>
        <v/>
      </c>
      <c r="G322" s="3" t="inlineStr">
        <is>
          <t>High</t>
        </is>
      </c>
      <c r="H322" s="3" t="inlineStr">
        <is>
          <t>Approved BOQ</t>
        </is>
      </c>
      <c r="I322" s="2" t="inlineStr">
        <is>
          <t>Baseline standard-house quantity</t>
        </is>
      </c>
    </row>
    <row r="323">
      <c r="A323" s="2" t="inlineStr">
        <is>
          <t>50129-JOI-014</t>
        </is>
      </c>
      <c r="B323" s="2" t="inlineStr">
        <is>
          <t>Wall Cabinet | 450mm Wx 299mmD x 720mmH</t>
        </is>
      </c>
      <c r="C323" s="3" t="inlineStr">
        <is>
          <t>each</t>
        </is>
      </c>
      <c r="D323" s="4" t="n">
        <v>2</v>
      </c>
      <c r="E323" s="4" t="n"/>
      <c r="F323" s="2">
        <f>IFERROR(D323*E323,"")</f>
        <v/>
      </c>
      <c r="G323" s="3" t="inlineStr">
        <is>
          <t>High</t>
        </is>
      </c>
      <c r="H323" s="3" t="inlineStr">
        <is>
          <t>Approved BOQ</t>
        </is>
      </c>
      <c r="I323" s="2" t="inlineStr">
        <is>
          <t>Baseline standard-house quantity</t>
        </is>
      </c>
    </row>
    <row r="324">
      <c r="A324" s="2" t="inlineStr">
        <is>
          <t>50129-JOI-005</t>
        </is>
      </c>
      <c r="B324" s="2" t="inlineStr">
        <is>
          <t>Rangehood Wall Cabinet | 600mmW x 299mmD x 460mmH</t>
        </is>
      </c>
      <c r="C324" s="3" t="inlineStr">
        <is>
          <t>each</t>
        </is>
      </c>
      <c r="D324" s="4" t="n">
        <v>1</v>
      </c>
      <c r="E324" s="4" t="n"/>
      <c r="F324" s="2">
        <f>IFERROR(D324*E324,"")</f>
        <v/>
      </c>
      <c r="G324" s="3" t="inlineStr">
        <is>
          <t>High</t>
        </is>
      </c>
      <c r="H324" s="3" t="inlineStr">
        <is>
          <t>Approved BOQ</t>
        </is>
      </c>
      <c r="I324" s="2" t="inlineStr">
        <is>
          <t>Baseline standard-house quantity</t>
        </is>
      </c>
    </row>
    <row r="325">
      <c r="A325" s="2" t="inlineStr">
        <is>
          <t>50129-BEN-001</t>
        </is>
      </c>
      <c r="B325" s="2" t="inlineStr">
        <is>
          <t>Bamboo Bench Top | 2100mm Wx 620mmD x 25mm thk</t>
        </is>
      </c>
      <c r="C325" s="3" t="inlineStr">
        <is>
          <t>each</t>
        </is>
      </c>
      <c r="D325" s="4" t="n">
        <v>1</v>
      </c>
      <c r="E325" s="4" t="n"/>
      <c r="F325" s="2">
        <f>IFERROR(D325*E325,"")</f>
        <v/>
      </c>
      <c r="G325" s="3" t="inlineStr">
        <is>
          <t>High</t>
        </is>
      </c>
      <c r="H325" s="3" t="inlineStr">
        <is>
          <t>Approved BOQ</t>
        </is>
      </c>
      <c r="I325" s="2" t="inlineStr">
        <is>
          <t>Baseline standard-house quantity</t>
        </is>
      </c>
    </row>
    <row r="326">
      <c r="A326" s="2" t="inlineStr">
        <is>
          <t>50129-BEN-002</t>
        </is>
      </c>
      <c r="B326" s="2" t="inlineStr">
        <is>
          <t>Bamboo Bench Top | 1208mm Wx 620mmD x 25mm thk</t>
        </is>
      </c>
      <c r="C326" s="3" t="inlineStr">
        <is>
          <t>each</t>
        </is>
      </c>
      <c r="D326" s="4" t="n">
        <v>2</v>
      </c>
      <c r="E326" s="4" t="n"/>
      <c r="F326" s="2">
        <f>IFERROR(D326*E326,"")</f>
        <v/>
      </c>
      <c r="G326" s="3" t="inlineStr">
        <is>
          <t>High</t>
        </is>
      </c>
      <c r="H326" s="3" t="inlineStr">
        <is>
          <t>Approved BOQ</t>
        </is>
      </c>
      <c r="I326" s="2" t="inlineStr">
        <is>
          <t>Baseline standard-house quantity</t>
        </is>
      </c>
    </row>
    <row r="327">
      <c r="A327" s="2" t="inlineStr">
        <is>
          <t>50129-BEN-003</t>
        </is>
      </c>
      <c r="B327" s="2" t="inlineStr">
        <is>
          <t>Bamboo Bench Top | 920mm Wx 620mmD x 25mm thk</t>
        </is>
      </c>
      <c r="C327" s="3" t="inlineStr">
        <is>
          <t>each</t>
        </is>
      </c>
      <c r="D327" s="4" t="n">
        <v>1</v>
      </c>
      <c r="E327" s="4" t="n"/>
      <c r="F327" s="2">
        <f>IFERROR(D327*E327,"")</f>
        <v/>
      </c>
      <c r="G327" s="3" t="inlineStr">
        <is>
          <t>High</t>
        </is>
      </c>
      <c r="H327" s="3" t="inlineStr">
        <is>
          <t>Approved BOQ</t>
        </is>
      </c>
      <c r="I327" s="2" t="inlineStr">
        <is>
          <t>Baseline standard-house quantity</t>
        </is>
      </c>
    </row>
    <row r="328">
      <c r="A328" s="16" t="inlineStr">
        <is>
          <t>Ground Level Laundry</t>
        </is>
      </c>
    </row>
    <row r="329">
      <c r="A329" s="2" t="inlineStr">
        <is>
          <t>50106-WPD-001</t>
        </is>
      </c>
      <c r="B329" s="2" t="inlineStr">
        <is>
          <t>Timber Skirting | 25 x 75 x 2400mm Timber</t>
        </is>
      </c>
      <c r="C329" s="3" t="inlineStr">
        <is>
          <t>len</t>
        </is>
      </c>
      <c r="D329" s="4" t="n">
        <v>3</v>
      </c>
      <c r="E329" s="4" t="n"/>
      <c r="F329" s="2">
        <f>IFERROR(D329*E329,"")</f>
        <v/>
      </c>
      <c r="G329" s="3" t="inlineStr">
        <is>
          <t>High</t>
        </is>
      </c>
      <c r="H329" s="3" t="inlineStr">
        <is>
          <t>Approved BOQ</t>
        </is>
      </c>
      <c r="I329" s="2" t="inlineStr">
        <is>
          <t>Baseline standard-house quantity</t>
        </is>
      </c>
    </row>
    <row r="330">
      <c r="A330" s="2" t="inlineStr">
        <is>
          <t>50106-WPD-001</t>
        </is>
      </c>
      <c r="B330" s="2" t="inlineStr">
        <is>
          <t>Timber Architrave | 12 x 75 x 2400mm Timber</t>
        </is>
      </c>
      <c r="C330" s="3" t="inlineStr">
        <is>
          <t>len</t>
        </is>
      </c>
      <c r="D330" s="4" t="n">
        <v>1</v>
      </c>
      <c r="E330" s="4" t="n"/>
      <c r="F330" s="2">
        <f>IFERROR(D330*E330,"")</f>
        <v/>
      </c>
      <c r="G330" s="3" t="inlineStr">
        <is>
          <t>High</t>
        </is>
      </c>
      <c r="H330" s="3" t="inlineStr">
        <is>
          <t>Approved BOQ</t>
        </is>
      </c>
      <c r="I330" s="2" t="inlineStr">
        <is>
          <t>Baseline standard-house quantity</t>
        </is>
      </c>
    </row>
    <row r="331">
      <c r="A331" s="2" t="inlineStr">
        <is>
          <t>50106-WPD-001</t>
        </is>
      </c>
      <c r="B331" s="2" t="inlineStr">
        <is>
          <t>Timber Skirting | 25 x 75 x 2400mm Timber</t>
        </is>
      </c>
      <c r="C331" s="3" t="inlineStr">
        <is>
          <t>len</t>
        </is>
      </c>
      <c r="D331" s="4" t="n">
        <v>5</v>
      </c>
      <c r="E331" s="4" t="n"/>
      <c r="F331" s="2">
        <f>IFERROR(D331*E331,"")</f>
        <v/>
      </c>
      <c r="G331" s="3" t="inlineStr">
        <is>
          <t>High</t>
        </is>
      </c>
      <c r="H331" s="3" t="inlineStr">
        <is>
          <t>Approved BOQ</t>
        </is>
      </c>
      <c r="I331" s="2" t="inlineStr">
        <is>
          <t>Baseline standard-house quantity</t>
        </is>
      </c>
    </row>
    <row r="332">
      <c r="A332" s="2" t="inlineStr">
        <is>
          <t>50106-WPD-003</t>
        </is>
      </c>
      <c r="B332" s="2" t="inlineStr">
        <is>
          <t>Timber Cornice | 25 x 25 x 2400mm Timber Cornice</t>
        </is>
      </c>
      <c r="C332" s="3" t="inlineStr">
        <is>
          <t>len</t>
        </is>
      </c>
      <c r="D332" s="4" t="n">
        <v>5</v>
      </c>
      <c r="E332" s="4" t="n"/>
      <c r="F332" s="2">
        <f>IFERROR(D332*E332,"")</f>
        <v/>
      </c>
      <c r="G332" s="3" t="inlineStr">
        <is>
          <t>High</t>
        </is>
      </c>
      <c r="H332" s="3" t="inlineStr">
        <is>
          <t>Approved BOQ</t>
        </is>
      </c>
      <c r="I332" s="2" t="inlineStr">
        <is>
          <t>Baseline standard-house quantity</t>
        </is>
      </c>
    </row>
    <row r="333">
      <c r="A333" s="2" t="inlineStr">
        <is>
          <t>50111-SCC-013</t>
        </is>
      </c>
      <c r="B333" s="2" t="inlineStr">
        <is>
          <t>Fixing | 8G - 10 x 50 Countersunk DP self drilling screw</t>
        </is>
      </c>
      <c r="C333" s="3" t="inlineStr">
        <is>
          <t>each</t>
        </is>
      </c>
      <c r="D333" s="4" t="n">
        <v>100</v>
      </c>
      <c r="E333" s="4" t="n"/>
      <c r="F333" s="2">
        <f>IFERROR(D333*E333,"")</f>
        <v/>
      </c>
      <c r="G333" s="3" t="inlineStr">
        <is>
          <t>High</t>
        </is>
      </c>
      <c r="H333" s="3" t="inlineStr">
        <is>
          <t>Approved BOQ</t>
        </is>
      </c>
      <c r="I333" s="2" t="inlineStr">
        <is>
          <t>Baseline standard-house quantity</t>
        </is>
      </c>
    </row>
    <row r="334">
      <c r="A334" s="2" t="inlineStr">
        <is>
          <t>50107-FRA-001</t>
        </is>
      </c>
      <c r="B334" s="2" t="inlineStr">
        <is>
          <t>Framecad Ground Floor Wall | LGS C89, 0.75BMT, G550, Z275, meter rate</t>
        </is>
      </c>
      <c r="C334" s="3" t="inlineStr">
        <is>
          <t>m</t>
        </is>
      </c>
      <c r="D334" s="4" t="n">
        <v>135</v>
      </c>
      <c r="E334" s="4" t="n"/>
      <c r="F334" s="2">
        <f>IFERROR(D334*E334,"")</f>
        <v/>
      </c>
      <c r="G334" s="3" t="inlineStr">
        <is>
          <t>High</t>
        </is>
      </c>
      <c r="H334" s="3" t="inlineStr">
        <is>
          <t>Approved BOQ</t>
        </is>
      </c>
      <c r="I334" s="2" t="inlineStr">
        <is>
          <t>Baseline standard-house quantity</t>
        </is>
      </c>
    </row>
    <row r="335">
      <c r="A335" s="2" t="inlineStr">
        <is>
          <t>50107-BAT-001</t>
        </is>
      </c>
      <c r="B335" s="2" t="inlineStr">
        <is>
          <t>Ceiling Batten | 20mm Top Hat, G350, Z275 5800mm</t>
        </is>
      </c>
      <c r="C335" s="3" t="inlineStr">
        <is>
          <t>len</t>
        </is>
      </c>
      <c r="D335" s="4" t="n">
        <v>4</v>
      </c>
      <c r="E335" s="4" t="n"/>
      <c r="F335" s="2">
        <f>IFERROR(D335*E335,"")</f>
        <v/>
      </c>
      <c r="G335" s="3" t="inlineStr">
        <is>
          <t>High</t>
        </is>
      </c>
      <c r="H335" s="3" t="inlineStr">
        <is>
          <t>Approved BOQ</t>
        </is>
      </c>
      <c r="I335" s="2" t="inlineStr">
        <is>
          <t>Baseline standard-house quantity</t>
        </is>
      </c>
    </row>
    <row r="336">
      <c r="A336" s="2" t="inlineStr">
        <is>
          <t>50111-SCC-002</t>
        </is>
      </c>
      <c r="B336" s="2" t="inlineStr">
        <is>
          <t>Fixing | 12G - 14 x 20mm, HEX Head, DP</t>
        </is>
      </c>
      <c r="C336" s="3" t="inlineStr">
        <is>
          <t>each</t>
        </is>
      </c>
      <c r="D336" s="4" t="n">
        <v>200</v>
      </c>
      <c r="E336" s="4" t="n"/>
      <c r="F336" s="2">
        <f>IFERROR(D336*E336,"")</f>
        <v/>
      </c>
      <c r="G336" s="3" t="inlineStr">
        <is>
          <t>High</t>
        </is>
      </c>
      <c r="H336" s="3" t="inlineStr">
        <is>
          <t>Approved BOQ</t>
        </is>
      </c>
      <c r="I336" s="2" t="inlineStr">
        <is>
          <t>Baseline standard-house quantity</t>
        </is>
      </c>
    </row>
    <row r="337">
      <c r="A337" s="2" t="inlineStr">
        <is>
          <t>50111-SCC-005</t>
        </is>
      </c>
      <c r="B337" s="2" t="inlineStr">
        <is>
          <t>Fixing | 10G - 18 x 19mm Flat Head, DP self drilling screw</t>
        </is>
      </c>
      <c r="C337" s="3" t="inlineStr">
        <is>
          <t>each</t>
        </is>
      </c>
      <c r="D337" s="4" t="n">
        <v>500</v>
      </c>
      <c r="E337" s="4" t="n"/>
      <c r="F337" s="2">
        <f>IFERROR(D337*E337,"")</f>
        <v/>
      </c>
      <c r="G337" s="3" t="inlineStr">
        <is>
          <t>High</t>
        </is>
      </c>
      <c r="H337" s="3" t="inlineStr">
        <is>
          <t>Approved BOQ</t>
        </is>
      </c>
      <c r="I337" s="2" t="inlineStr">
        <is>
          <t>Baseline standard-house quantity</t>
        </is>
      </c>
    </row>
    <row r="338">
      <c r="A338" s="2" t="inlineStr">
        <is>
          <t>50111-BOL-007</t>
        </is>
      </c>
      <c r="B338" s="2" t="inlineStr">
        <is>
          <t>Fixing | M12 x 75mm Sleeve Anchors, HEX Head, Galvanised</t>
        </is>
      </c>
      <c r="C338" s="3" t="inlineStr">
        <is>
          <t>each</t>
        </is>
      </c>
      <c r="D338" s="4" t="n">
        <v>10</v>
      </c>
      <c r="E338" s="4" t="n"/>
      <c r="F338" s="2">
        <f>IFERROR(D338*E338,"")</f>
        <v/>
      </c>
      <c r="G338" s="3" t="inlineStr">
        <is>
          <t>High</t>
        </is>
      </c>
      <c r="H338" s="3" t="inlineStr">
        <is>
          <t>Approved BOQ</t>
        </is>
      </c>
      <c r="I338" s="2" t="inlineStr">
        <is>
          <t>Baseline standard-house quantity</t>
        </is>
      </c>
    </row>
    <row r="339">
      <c r="A339" s="2" t="inlineStr">
        <is>
          <t>50112-RCL-006</t>
        </is>
      </c>
      <c r="B339" s="2" t="inlineStr">
        <is>
          <t>External Cladding | Panel Rib 0.42 BMT, 2750mm - 850mm</t>
        </is>
      </c>
      <c r="C339" s="3" t="inlineStr">
        <is>
          <t>len</t>
        </is>
      </c>
      <c r="D339" s="4" t="n">
        <v>14</v>
      </c>
      <c r="E339" s="4" t="n"/>
      <c r="F339" s="2">
        <f>IFERROR(D339*E339,"")</f>
        <v/>
      </c>
      <c r="G339" s="3" t="inlineStr">
        <is>
          <t>High</t>
        </is>
      </c>
      <c r="H339" s="3" t="inlineStr">
        <is>
          <t>Approved BOQ</t>
        </is>
      </c>
      <c r="I339" s="2" t="inlineStr">
        <is>
          <t>Baseline standard-house quantity</t>
        </is>
      </c>
    </row>
    <row r="340">
      <c r="A340" s="2" t="inlineStr">
        <is>
          <t>50113-WCC-001</t>
        </is>
      </c>
      <c r="B340" s="2" t="inlineStr">
        <is>
          <t>Corner Flashing, 2750mm</t>
        </is>
      </c>
      <c r="C340" s="3" t="inlineStr">
        <is>
          <t>len</t>
        </is>
      </c>
      <c r="D340" s="4" t="n">
        <v>4</v>
      </c>
      <c r="E340" s="4" t="n"/>
      <c r="F340" s="2">
        <f>IFERROR(D340*E340,"")</f>
        <v/>
      </c>
      <c r="G340" s="3" t="inlineStr">
        <is>
          <t>High</t>
        </is>
      </c>
      <c r="H340" s="3" t="inlineStr">
        <is>
          <t>Approved BOQ</t>
        </is>
      </c>
      <c r="I340" s="2" t="inlineStr">
        <is>
          <t>Baseline standard-house quantity</t>
        </is>
      </c>
    </row>
    <row r="341">
      <c r="A341" s="2" t="inlineStr">
        <is>
          <t>50111-SCC-006</t>
        </is>
      </c>
      <c r="B341" s="2" t="inlineStr">
        <is>
          <t>Fixing | 10G - 16 x 25mm HEX Head, DP, Neo C3 Washer Rubber</t>
        </is>
      </c>
      <c r="C341" s="3" t="inlineStr">
        <is>
          <t>each</t>
        </is>
      </c>
      <c r="D341" s="4" t="n">
        <v>200</v>
      </c>
      <c r="E341" s="4" t="n"/>
      <c r="F341" s="2">
        <f>IFERROR(D341*E341,"")</f>
        <v/>
      </c>
      <c r="G341" s="3" t="inlineStr">
        <is>
          <t>High</t>
        </is>
      </c>
      <c r="H341" s="3" t="inlineStr">
        <is>
          <t>Approved BOQ</t>
        </is>
      </c>
      <c r="I341" s="2" t="inlineStr">
        <is>
          <t>Baseline standard-house quantity</t>
        </is>
      </c>
    </row>
    <row r="342">
      <c r="A342" s="2" t="inlineStr">
        <is>
          <t>50114-DHC-003</t>
        </is>
      </c>
      <c r="B342" s="2" t="inlineStr">
        <is>
          <t>Door | 2040 x 820 x 35mm, HOLLOW CORE</t>
        </is>
      </c>
      <c r="C342" s="3" t="inlineStr">
        <is>
          <t>each</t>
        </is>
      </c>
      <c r="D342" s="4" t="n">
        <v>1</v>
      </c>
      <c r="E342" s="4" t="n"/>
      <c r="F342" s="2">
        <f>IFERROR(D342*E342,"")</f>
        <v/>
      </c>
      <c r="G342" s="3" t="inlineStr">
        <is>
          <t>High</t>
        </is>
      </c>
      <c r="H342" s="3" t="inlineStr">
        <is>
          <t>Approved BOQ</t>
        </is>
      </c>
      <c r="I342" s="2" t="inlineStr">
        <is>
          <t>Baseline standard-house quantity</t>
        </is>
      </c>
    </row>
    <row r="343">
      <c r="A343" s="2" t="inlineStr">
        <is>
          <t>50114-DJA-006</t>
        </is>
      </c>
      <c r="B343" s="2" t="inlineStr">
        <is>
          <t>Door Frame |Timber Door Frames 2100mmH x 900mmW</t>
        </is>
      </c>
      <c r="C343" s="3" t="inlineStr">
        <is>
          <t>each</t>
        </is>
      </c>
      <c r="D343" s="4" t="n">
        <v>1</v>
      </c>
      <c r="E343" s="4" t="n"/>
      <c r="F343" s="2">
        <f>IFERROR(D343*E343,"")</f>
        <v/>
      </c>
      <c r="G343" s="3" t="inlineStr">
        <is>
          <t>High</t>
        </is>
      </c>
      <c r="H343" s="3" t="inlineStr">
        <is>
          <t>Approved BOQ</t>
        </is>
      </c>
      <c r="I343" s="2" t="inlineStr">
        <is>
          <t>Baseline standard-house quantity</t>
        </is>
      </c>
    </row>
    <row r="344">
      <c r="A344" s="2" t="inlineStr">
        <is>
          <t>50114-HIN-001</t>
        </is>
      </c>
      <c r="B344" s="2" t="inlineStr">
        <is>
          <t>Hinges | Hinge; Fixed Pin 100 x 75 x 2.5mm</t>
        </is>
      </c>
      <c r="C344" s="3" t="inlineStr">
        <is>
          <t>each</t>
        </is>
      </c>
      <c r="D344" s="4" t="n">
        <v>3</v>
      </c>
      <c r="E344" s="4" t="n"/>
      <c r="F344" s="2">
        <f>IFERROR(D344*E344,"")</f>
        <v/>
      </c>
      <c r="G344" s="3" t="inlineStr">
        <is>
          <t>High</t>
        </is>
      </c>
      <c r="H344" s="3" t="inlineStr">
        <is>
          <t>Approved BOQ</t>
        </is>
      </c>
      <c r="I344" s="2" t="inlineStr">
        <is>
          <t>Baseline standard-house quantity</t>
        </is>
      </c>
    </row>
    <row r="345">
      <c r="A345" s="2" t="inlineStr">
        <is>
          <t>50114-DST-003</t>
        </is>
      </c>
      <c r="B345" s="2" t="inlineStr">
        <is>
          <t>Door Stop | Rubber Door Stopper (A-290 Half Moon)</t>
        </is>
      </c>
      <c r="C345" s="3" t="inlineStr">
        <is>
          <t>each</t>
        </is>
      </c>
      <c r="D345" s="4" t="n">
        <v>1</v>
      </c>
      <c r="E345" s="4" t="n"/>
      <c r="F345" s="2">
        <f>IFERROR(D345*E345,"")</f>
        <v/>
      </c>
      <c r="G345" s="3" t="inlineStr">
        <is>
          <t>High</t>
        </is>
      </c>
      <c r="H345" s="3" t="inlineStr">
        <is>
          <t>Approved BOQ</t>
        </is>
      </c>
      <c r="I345" s="2" t="inlineStr">
        <is>
          <t>Baseline standard-house quantity</t>
        </is>
      </c>
    </row>
    <row r="346">
      <c r="A346" s="2" t="inlineStr">
        <is>
          <t>50114-ENS-001</t>
        </is>
      </c>
      <c r="B346" s="2" t="inlineStr">
        <is>
          <t>Door Lock | Door Entrance Set</t>
        </is>
      </c>
      <c r="C346" s="3" t="inlineStr">
        <is>
          <t>each</t>
        </is>
      </c>
      <c r="D346" s="4" t="n">
        <v>1</v>
      </c>
      <c r="E346" s="4" t="n"/>
      <c r="F346" s="2">
        <f>IFERROR(D346*E346,"")</f>
        <v/>
      </c>
      <c r="G346" s="3" t="inlineStr">
        <is>
          <t>High</t>
        </is>
      </c>
      <c r="H346" s="3" t="inlineStr">
        <is>
          <t>Approved BOQ</t>
        </is>
      </c>
      <c r="I346" s="2" t="inlineStr">
        <is>
          <t>Baseline standard-house quantity</t>
        </is>
      </c>
    </row>
    <row r="347">
      <c r="A347" s="2" t="inlineStr">
        <is>
          <t>50114-WFR-025</t>
        </is>
      </c>
      <c r="B347" s="2" t="inlineStr">
        <is>
          <t>Timber Window - B | 800 x 620mm complete with louver frames, blades &amp; security bars w/ Fly Screen</t>
        </is>
      </c>
      <c r="C347" s="3" t="inlineStr">
        <is>
          <t>set</t>
        </is>
      </c>
      <c r="D347" s="4" t="n">
        <v>1</v>
      </c>
      <c r="E347" s="4" t="n"/>
      <c r="F347" s="2">
        <f>IFERROR(D347*E347,"")</f>
        <v/>
      </c>
      <c r="G347" s="3" t="inlineStr">
        <is>
          <t>High</t>
        </is>
      </c>
      <c r="H347" s="3" t="inlineStr">
        <is>
          <t>Approved BOQ</t>
        </is>
      </c>
      <c r="I347" s="2" t="inlineStr">
        <is>
          <t>Baseline standard-house quantity</t>
        </is>
      </c>
    </row>
    <row r="348">
      <c r="A348" s="2" t="inlineStr"/>
      <c r="B348" s="2" t="inlineStr">
        <is>
          <t>Timber Frame Window | 800 x 620mm</t>
        </is>
      </c>
      <c r="C348" s="3" t="inlineStr">
        <is>
          <t>each</t>
        </is>
      </c>
      <c r="D348" s="4" t="n">
        <v>1</v>
      </c>
      <c r="E348" s="4" t="n"/>
      <c r="F348" s="2">
        <f>IFERROR(D348*E348,"")</f>
        <v/>
      </c>
      <c r="G348" s="3" t="inlineStr">
        <is>
          <t>High</t>
        </is>
      </c>
      <c r="H348" s="3" t="inlineStr">
        <is>
          <t>Approved BOQ</t>
        </is>
      </c>
      <c r="I348" s="2" t="inlineStr">
        <is>
          <t>Baseline standard-house quantity</t>
        </is>
      </c>
    </row>
    <row r="349">
      <c r="A349" s="2" t="inlineStr"/>
      <c r="B349" s="2" t="inlineStr">
        <is>
          <t>Window Strips | 12 x 38 x 2400mm Timber</t>
        </is>
      </c>
      <c r="C349" s="3" t="inlineStr">
        <is>
          <t>len</t>
        </is>
      </c>
      <c r="D349" s="4" t="n">
        <v>2</v>
      </c>
      <c r="E349" s="4" t="n"/>
      <c r="F349" s="2">
        <f>IFERROR(D349*E349,"")</f>
        <v/>
      </c>
      <c r="G349" s="3" t="inlineStr">
        <is>
          <t>High</t>
        </is>
      </c>
      <c r="H349" s="3" t="inlineStr">
        <is>
          <t>Approved BOQ</t>
        </is>
      </c>
      <c r="I349" s="2" t="inlineStr">
        <is>
          <t>Derived from approved BOQ formula =ROUNDUP((C352*0.8*2+C352*0.62*2)/2.4,0)</t>
        </is>
      </c>
    </row>
    <row r="350">
      <c r="A350" s="2" t="inlineStr"/>
      <c r="B350" s="2" t="inlineStr">
        <is>
          <t>16Ø x 6M Plain Round bar, Galvanized</t>
        </is>
      </c>
      <c r="C350" s="3" t="inlineStr">
        <is>
          <t>len</t>
        </is>
      </c>
      <c r="D350" s="4" t="n">
        <v>1</v>
      </c>
      <c r="E350" s="4" t="n"/>
      <c r="F350" s="2">
        <f>IFERROR(D350*E350,"")</f>
        <v/>
      </c>
      <c r="G350" s="3" t="inlineStr">
        <is>
          <t>High</t>
        </is>
      </c>
      <c r="H350" s="3" t="inlineStr">
        <is>
          <t>Approved BOQ</t>
        </is>
      </c>
      <c r="I350" s="2" t="inlineStr">
        <is>
          <t>Derived from approved BOQ formula =ROUNDUP(0.7*6*C352/6,0)</t>
        </is>
      </c>
    </row>
    <row r="351">
      <c r="A351" s="2" t="inlineStr"/>
      <c r="B351" s="2" t="inlineStr">
        <is>
          <t>Fly Screen</t>
        </is>
      </c>
      <c r="C351" s="3" t="inlineStr">
        <is>
          <t>m2</t>
        </is>
      </c>
      <c r="D351" s="4" t="n">
        <v>1</v>
      </c>
      <c r="E351" s="4" t="n"/>
      <c r="F351" s="2">
        <f>IFERROR(D351*E351,"")</f>
        <v/>
      </c>
      <c r="G351" s="3" t="inlineStr">
        <is>
          <t>High</t>
        </is>
      </c>
      <c r="H351" s="3" t="inlineStr">
        <is>
          <t>Approved BOQ</t>
        </is>
      </c>
      <c r="I351" s="2" t="inlineStr">
        <is>
          <t>Derived from approved BOQ formula =ROUNDUP(0.8*0.7*C352,0)</t>
        </is>
      </c>
    </row>
    <row r="352">
      <c r="A352" s="2" t="inlineStr"/>
      <c r="B352" s="2" t="inlineStr">
        <is>
          <t>150mm x 505mm x 6mm thk Frosted Louvre Glass</t>
        </is>
      </c>
      <c r="C352" s="3" t="inlineStr">
        <is>
          <t>each</t>
        </is>
      </c>
      <c r="D352" s="4" t="n">
        <v>5</v>
      </c>
      <c r="E352" s="4" t="n"/>
      <c r="F352" s="2">
        <f>IFERROR(D352*E352,"")</f>
        <v/>
      </c>
      <c r="G352" s="3" t="inlineStr">
        <is>
          <t>High</t>
        </is>
      </c>
      <c r="H352" s="3" t="inlineStr">
        <is>
          <t>Approved BOQ</t>
        </is>
      </c>
      <c r="I352" s="2" t="inlineStr">
        <is>
          <t>Derived from approved BOQ formula =C352*5*1</t>
        </is>
      </c>
    </row>
    <row r="353">
      <c r="A353" s="2" t="inlineStr"/>
      <c r="B353" s="2" t="inlineStr">
        <is>
          <t>Louver Frame, 5blades</t>
        </is>
      </c>
      <c r="C353" s="3" t="inlineStr">
        <is>
          <t>pairs</t>
        </is>
      </c>
      <c r="D353" s="4" t="n">
        <v>1</v>
      </c>
      <c r="E353" s="4" t="n"/>
      <c r="F353" s="2">
        <f>IFERROR(D353*E353,"")</f>
        <v/>
      </c>
      <c r="G353" s="3" t="inlineStr">
        <is>
          <t>High</t>
        </is>
      </c>
      <c r="H353" s="3" t="inlineStr">
        <is>
          <t>Approved BOQ</t>
        </is>
      </c>
      <c r="I353" s="2" t="inlineStr">
        <is>
          <t>Derived from approved BOQ formula =C352</t>
        </is>
      </c>
    </row>
    <row r="354">
      <c r="A354" s="2" t="inlineStr">
        <is>
          <t>50114-WLV-004</t>
        </is>
      </c>
      <c r="B354" s="2" t="inlineStr">
        <is>
          <t>Flashing | Window Head Flashing, 800mm</t>
        </is>
      </c>
      <c r="C354" s="3" t="inlineStr">
        <is>
          <t>len</t>
        </is>
      </c>
      <c r="D354" s="4" t="n">
        <v>1</v>
      </c>
      <c r="E354" s="4" t="n"/>
      <c r="F354" s="2">
        <f>IFERROR(D354*E354,"")</f>
        <v/>
      </c>
      <c r="G354" s="3" t="inlineStr">
        <is>
          <t>High</t>
        </is>
      </c>
      <c r="H354" s="3" t="inlineStr">
        <is>
          <t>Approved BOQ</t>
        </is>
      </c>
      <c r="I354" s="2" t="inlineStr">
        <is>
          <t>Baseline standard-house quantity</t>
        </is>
      </c>
    </row>
    <row r="355">
      <c r="A355" s="2" t="inlineStr">
        <is>
          <t>50114-WLV-004</t>
        </is>
      </c>
      <c r="B355" s="2" t="inlineStr">
        <is>
          <t>Flashing | Window Head Flashing, 950mm</t>
        </is>
      </c>
      <c r="C355" s="3" t="inlineStr">
        <is>
          <t>len</t>
        </is>
      </c>
      <c r="D355" s="4" t="n">
        <v>2</v>
      </c>
      <c r="E355" s="4" t="n"/>
      <c r="F355" s="2">
        <f>IFERROR(D355*E355,"")</f>
        <v/>
      </c>
      <c r="G355" s="3" t="inlineStr">
        <is>
          <t>High</t>
        </is>
      </c>
      <c r="H355" s="3" t="inlineStr">
        <is>
          <t>Approved BOQ</t>
        </is>
      </c>
      <c r="I355" s="2" t="inlineStr">
        <is>
          <t>Baseline standard-house quantity</t>
        </is>
      </c>
    </row>
    <row r="356">
      <c r="A356" s="2" t="inlineStr">
        <is>
          <t>50114-WLV-004</t>
        </is>
      </c>
      <c r="B356" s="2" t="inlineStr">
        <is>
          <t>Flashing | Window Sill Flashing, 800mm</t>
        </is>
      </c>
      <c r="C356" s="3" t="inlineStr">
        <is>
          <t>len</t>
        </is>
      </c>
      <c r="D356" s="4" t="n">
        <v>1</v>
      </c>
      <c r="E356" s="4" t="n"/>
      <c r="F356" s="2">
        <f>IFERROR(D356*E356,"")</f>
        <v/>
      </c>
      <c r="G356" s="3" t="inlineStr">
        <is>
          <t>High</t>
        </is>
      </c>
      <c r="H356" s="3" t="inlineStr">
        <is>
          <t>Approved BOQ</t>
        </is>
      </c>
      <c r="I356" s="2" t="inlineStr">
        <is>
          <t>Baseline standard-house quantity</t>
        </is>
      </c>
    </row>
    <row r="357">
      <c r="A357" s="2" t="inlineStr"/>
      <c r="B357" s="2" t="inlineStr">
        <is>
          <t>Flashing | Door Head Flashing, 1000mm</t>
        </is>
      </c>
      <c r="C357" s="3" t="inlineStr">
        <is>
          <t>len</t>
        </is>
      </c>
      <c r="D357" s="4" t="n">
        <v>1</v>
      </c>
      <c r="E357" s="4" t="n"/>
      <c r="F357" s="2">
        <f>IFERROR(D357*E357,"")</f>
        <v/>
      </c>
      <c r="G357" s="3" t="inlineStr">
        <is>
          <t>High</t>
        </is>
      </c>
      <c r="H357" s="3" t="inlineStr">
        <is>
          <t>Approved BOQ</t>
        </is>
      </c>
      <c r="I357" s="2" t="inlineStr">
        <is>
          <t>Baseline standard-house quantity</t>
        </is>
      </c>
    </row>
    <row r="358">
      <c r="A358" s="2" t="inlineStr"/>
      <c r="B358" s="2" t="inlineStr">
        <is>
          <t>Flashing | Door Side Flashing, 2200mm</t>
        </is>
      </c>
      <c r="C358" s="3" t="inlineStr">
        <is>
          <t>len</t>
        </is>
      </c>
      <c r="D358" s="4" t="n">
        <v>2</v>
      </c>
      <c r="E358" s="4" t="n"/>
      <c r="F358" s="2">
        <f>IFERROR(D358*E358,"")</f>
        <v/>
      </c>
      <c r="G358" s="3" t="inlineStr">
        <is>
          <t>High</t>
        </is>
      </c>
      <c r="H358" s="3" t="inlineStr">
        <is>
          <t>Approved BOQ</t>
        </is>
      </c>
      <c r="I358" s="2" t="inlineStr">
        <is>
          <t>Baseline standard-house quantity</t>
        </is>
      </c>
    </row>
    <row r="359">
      <c r="A359" s="2" t="inlineStr">
        <is>
          <t>50111-SCC-008</t>
        </is>
      </c>
      <c r="B359" s="2" t="inlineStr">
        <is>
          <t>Fixing | 10G - 24 x 40mm Countersunk, DP self drilling screw</t>
        </is>
      </c>
      <c r="C359" s="3" t="inlineStr">
        <is>
          <t>each</t>
        </is>
      </c>
      <c r="D359" s="4" t="n">
        <v>20</v>
      </c>
      <c r="E359" s="4" t="n"/>
      <c r="F359" s="2">
        <f>IFERROR(D359*E359,"")</f>
        <v/>
      </c>
      <c r="G359" s="3" t="inlineStr">
        <is>
          <t>High</t>
        </is>
      </c>
      <c r="H359" s="3" t="inlineStr">
        <is>
          <t>Approved BOQ</t>
        </is>
      </c>
      <c r="I359" s="2" t="inlineStr">
        <is>
          <t>Baseline standard-house quantity</t>
        </is>
      </c>
    </row>
    <row r="360">
      <c r="A360" s="2" t="inlineStr">
        <is>
          <t>50115-FCS-001</t>
        </is>
      </c>
      <c r="B360" s="2" t="inlineStr">
        <is>
          <t>FC Sheet Wall | 6mm thk, 1200 x 2700 Sheet, AS2908.2</t>
        </is>
      </c>
      <c r="C360" s="3" t="inlineStr">
        <is>
          <t>each</t>
        </is>
      </c>
      <c r="D360" s="4" t="n">
        <v>10</v>
      </c>
      <c r="E360" s="4" t="n"/>
      <c r="F360" s="2">
        <f>IFERROR(D360*E360,"")</f>
        <v/>
      </c>
      <c r="G360" s="3" t="inlineStr">
        <is>
          <t>High</t>
        </is>
      </c>
      <c r="H360" s="3" t="inlineStr">
        <is>
          <t>Approved BOQ</t>
        </is>
      </c>
      <c r="I360" s="2" t="inlineStr">
        <is>
          <t>Baseline standard-house quantity</t>
        </is>
      </c>
    </row>
    <row r="361">
      <c r="A361" s="2" t="inlineStr">
        <is>
          <t>50115-FCS-002</t>
        </is>
      </c>
      <c r="B361" s="2" t="inlineStr">
        <is>
          <t>FC Sheet Ceiling | 6mm thk, 1200 x 2400 Sheet, AS2908.2</t>
        </is>
      </c>
      <c r="C361" s="3" t="inlineStr">
        <is>
          <t>each</t>
        </is>
      </c>
      <c r="D361" s="4" t="n">
        <v>6</v>
      </c>
      <c r="E361" s="4" t="n"/>
      <c r="F361" s="2">
        <f>IFERROR(D361*E361,"")</f>
        <v/>
      </c>
      <c r="G361" s="3" t="inlineStr">
        <is>
          <t>High</t>
        </is>
      </c>
      <c r="H361" s="3" t="inlineStr">
        <is>
          <t>Approved BOQ</t>
        </is>
      </c>
      <c r="I361" s="2" t="inlineStr">
        <is>
          <t>Baseline standard-house quantity</t>
        </is>
      </c>
    </row>
    <row r="362">
      <c r="A362" s="2" t="inlineStr">
        <is>
          <t>50115-HMJ-003</t>
        </is>
      </c>
      <c r="B362" s="2" t="inlineStr">
        <is>
          <t>Internal lining Accessory | PVC H Joiner 6mm, 2400mm</t>
        </is>
      </c>
      <c r="C362" s="3" t="inlineStr">
        <is>
          <t>len</t>
        </is>
      </c>
      <c r="D362" s="4" t="n">
        <v>12</v>
      </c>
      <c r="E362" s="4" t="n"/>
      <c r="F362" s="2">
        <f>IFERROR(D362*E362,"")</f>
        <v/>
      </c>
      <c r="G362" s="3" t="inlineStr">
        <is>
          <t>High</t>
        </is>
      </c>
      <c r="H362" s="3" t="inlineStr">
        <is>
          <t>Approved BOQ</t>
        </is>
      </c>
      <c r="I362" s="2" t="inlineStr">
        <is>
          <t>Baseline standard-house quantity</t>
        </is>
      </c>
    </row>
    <row r="363">
      <c r="A363" s="2" t="inlineStr">
        <is>
          <t>50115-HMJ-004</t>
        </is>
      </c>
      <c r="B363" s="2" t="inlineStr">
        <is>
          <t>Internal lining Accessory | PVC H Joiner 6mm, 2700mm</t>
        </is>
      </c>
      <c r="C363" s="3" t="inlineStr">
        <is>
          <t>len</t>
        </is>
      </c>
      <c r="D363" s="4" t="n">
        <v>15</v>
      </c>
      <c r="E363" s="4" t="n"/>
      <c r="F363" s="2">
        <f>IFERROR(D363*E363,"")</f>
        <v/>
      </c>
      <c r="G363" s="3" t="inlineStr">
        <is>
          <t>High</t>
        </is>
      </c>
      <c r="H363" s="3" t="inlineStr">
        <is>
          <t>Approved BOQ</t>
        </is>
      </c>
      <c r="I363" s="2" t="inlineStr">
        <is>
          <t>Baseline standard-house quantity</t>
        </is>
      </c>
    </row>
    <row r="364">
      <c r="A364" s="2" t="inlineStr">
        <is>
          <t>50115-HMJ-006</t>
        </is>
      </c>
      <c r="B364" s="2" t="inlineStr">
        <is>
          <t>6.0mm x 2700mm PVC Internal Capping, corner</t>
        </is>
      </c>
      <c r="C364" s="3" t="inlineStr">
        <is>
          <t>len</t>
        </is>
      </c>
      <c r="D364" s="4" t="n">
        <v>4</v>
      </c>
      <c r="E364" s="4" t="n"/>
      <c r="F364" s="2">
        <f>IFERROR(D364*E364,"")</f>
        <v/>
      </c>
      <c r="G364" s="3" t="inlineStr">
        <is>
          <t>High</t>
        </is>
      </c>
      <c r="H364" s="3" t="inlineStr">
        <is>
          <t>Approved BOQ</t>
        </is>
      </c>
      <c r="I364" s="2" t="inlineStr">
        <is>
          <t>Baseline standard-house quantity</t>
        </is>
      </c>
    </row>
    <row r="365">
      <c r="A365" s="2" t="inlineStr">
        <is>
          <t>50125-SCI-001</t>
        </is>
      </c>
      <c r="B365" s="2" t="inlineStr">
        <is>
          <t>PEX Straight Coupling Inline 16mm x 16mm</t>
        </is>
      </c>
      <c r="C365" s="3" t="inlineStr">
        <is>
          <t>each</t>
        </is>
      </c>
      <c r="D365" s="4" t="n">
        <v>1</v>
      </c>
      <c r="E365" s="4" t="n"/>
      <c r="F365" s="2">
        <f>IFERROR(D365*E365,"")</f>
        <v/>
      </c>
      <c r="G365" s="3" t="inlineStr">
        <is>
          <t>High</t>
        </is>
      </c>
      <c r="H365" s="3" t="inlineStr">
        <is>
          <t>Approved BOQ</t>
        </is>
      </c>
      <c r="I365" s="2" t="inlineStr">
        <is>
          <t>Baseline standard-house quantity</t>
        </is>
      </c>
    </row>
    <row r="366">
      <c r="A366" s="2" t="inlineStr">
        <is>
          <t>50125-SCI-002</t>
        </is>
      </c>
      <c r="B366" s="2" t="inlineStr">
        <is>
          <t>PEX Straight Coupling Inline 25mm x 25mm</t>
        </is>
      </c>
      <c r="C366" s="3" t="inlineStr">
        <is>
          <t>each</t>
        </is>
      </c>
      <c r="D366" s="4" t="n">
        <v>2</v>
      </c>
      <c r="E366" s="4" t="n"/>
      <c r="F366" s="2">
        <f>IFERROR(D366*E366,"")</f>
        <v/>
      </c>
      <c r="G366" s="3" t="inlineStr">
        <is>
          <t>High</t>
        </is>
      </c>
      <c r="H366" s="3" t="inlineStr">
        <is>
          <t>Approved BOQ</t>
        </is>
      </c>
      <c r="I366" s="2" t="inlineStr">
        <is>
          <t>Baseline standard-house quantity</t>
        </is>
      </c>
    </row>
    <row r="367">
      <c r="A367" s="2" t="inlineStr">
        <is>
          <t>50125-RCC-002</t>
        </is>
      </c>
      <c r="B367" s="2" t="inlineStr">
        <is>
          <t>PEX Reducing Coupling 25 x 16mm</t>
        </is>
      </c>
      <c r="C367" s="3" t="inlineStr">
        <is>
          <t>each</t>
        </is>
      </c>
      <c r="D367" s="4" t="n">
        <v>1</v>
      </c>
      <c r="E367" s="4" t="n"/>
      <c r="F367" s="2">
        <f>IFERROR(D367*E367,"")</f>
        <v/>
      </c>
      <c r="G367" s="3" t="inlineStr">
        <is>
          <t>High</t>
        </is>
      </c>
      <c r="H367" s="3" t="inlineStr">
        <is>
          <t>Approved BOQ</t>
        </is>
      </c>
      <c r="I367" s="2" t="inlineStr">
        <is>
          <t>Baseline standard-house quantity</t>
        </is>
      </c>
    </row>
    <row r="368">
      <c r="A368" s="2" t="inlineStr">
        <is>
          <t>50125-MSC-005</t>
        </is>
      </c>
      <c r="B368" s="2" t="inlineStr">
        <is>
          <t>PEX Straight Connector Male Thread Fixed Adaptor 16 x 1/2" MI</t>
        </is>
      </c>
      <c r="C368" s="3" t="inlineStr">
        <is>
          <t>each</t>
        </is>
      </c>
      <c r="D368" s="4" t="n">
        <v>2</v>
      </c>
      <c r="E368" s="4" t="n"/>
      <c r="F368" s="2">
        <f>IFERROR(D368*E368,"")</f>
        <v/>
      </c>
      <c r="G368" s="3" t="inlineStr">
        <is>
          <t>High</t>
        </is>
      </c>
      <c r="H368" s="3" t="inlineStr">
        <is>
          <t>Approved BOQ</t>
        </is>
      </c>
      <c r="I368" s="2" t="inlineStr">
        <is>
          <t>Baseline standard-house quantity</t>
        </is>
      </c>
    </row>
    <row r="369">
      <c r="A369" s="2" t="inlineStr">
        <is>
          <t>50125-MSC-007</t>
        </is>
      </c>
      <c r="B369" s="2" t="inlineStr">
        <is>
          <t>PEX Straight Connector Male Thread Fixed Adaptor 25 x 1" MI</t>
        </is>
      </c>
      <c r="C369" s="3" t="inlineStr">
        <is>
          <t>each</t>
        </is>
      </c>
      <c r="D369" s="4" t="n">
        <v>2</v>
      </c>
      <c r="E369" s="4" t="n"/>
      <c r="F369" s="2">
        <f>IFERROR(D369*E369,"")</f>
        <v/>
      </c>
      <c r="G369" s="3" t="inlineStr">
        <is>
          <t>High</t>
        </is>
      </c>
      <c r="H369" s="3" t="inlineStr">
        <is>
          <t>Approved BOQ</t>
        </is>
      </c>
      <c r="I369" s="2" t="inlineStr">
        <is>
          <t>Baseline standard-house quantity</t>
        </is>
      </c>
    </row>
    <row r="370">
      <c r="A370" s="2" t="inlineStr">
        <is>
          <t>50125-EEP-001</t>
        </is>
      </c>
      <c r="B370" s="2" t="inlineStr">
        <is>
          <t>Equal PEX Elbow 15 x 15mm</t>
        </is>
      </c>
      <c r="C370" s="3" t="inlineStr">
        <is>
          <t>each</t>
        </is>
      </c>
      <c r="D370" s="4" t="n">
        <v>2</v>
      </c>
      <c r="E370" s="4" t="n"/>
      <c r="F370" s="2">
        <f>IFERROR(D370*E370,"")</f>
        <v/>
      </c>
      <c r="G370" s="3" t="inlineStr">
        <is>
          <t>High</t>
        </is>
      </c>
      <c r="H370" s="3" t="inlineStr">
        <is>
          <t>Approved BOQ</t>
        </is>
      </c>
      <c r="I370" s="2" t="inlineStr">
        <is>
          <t>Baseline standard-house quantity</t>
        </is>
      </c>
    </row>
    <row r="371">
      <c r="A371" s="2" t="inlineStr">
        <is>
          <t>50125-EEP-002</t>
        </is>
      </c>
      <c r="B371" s="2" t="inlineStr">
        <is>
          <t>Equal PEX Elbow 25 x 25mm</t>
        </is>
      </c>
      <c r="C371" s="3" t="inlineStr">
        <is>
          <t>each</t>
        </is>
      </c>
      <c r="D371" s="4" t="n">
        <v>2</v>
      </c>
      <c r="E371" s="4" t="n"/>
      <c r="F371" s="2">
        <f>IFERROR(D371*E371,"")</f>
        <v/>
      </c>
      <c r="G371" s="3" t="inlineStr">
        <is>
          <t>High</t>
        </is>
      </c>
      <c r="H371" s="3" t="inlineStr">
        <is>
          <t>Approved BOQ</t>
        </is>
      </c>
      <c r="I371" s="2" t="inlineStr">
        <is>
          <t>Baseline standard-house quantity</t>
        </is>
      </c>
    </row>
    <row r="372">
      <c r="A372" s="2" t="inlineStr">
        <is>
          <t>50125-WBE-001</t>
        </is>
      </c>
      <c r="B372" s="2" t="inlineStr">
        <is>
          <t>PEX Winged Back Elbow Male Thread Ext 65mm 15 x 1/2" x 65mm MI</t>
        </is>
      </c>
      <c r="C372" s="3" t="inlineStr">
        <is>
          <t>each</t>
        </is>
      </c>
      <c r="D372" s="4" t="n">
        <v>2</v>
      </c>
      <c r="E372" s="4" t="n"/>
      <c r="F372" s="2">
        <f>IFERROR(D372*E372,"")</f>
        <v/>
      </c>
      <c r="G372" s="3" t="inlineStr">
        <is>
          <t>High</t>
        </is>
      </c>
      <c r="H372" s="3" t="inlineStr">
        <is>
          <t>Approved BOQ</t>
        </is>
      </c>
      <c r="I372" s="2" t="inlineStr">
        <is>
          <t>Baseline standard-house quantity</t>
        </is>
      </c>
    </row>
    <row r="373">
      <c r="A373" s="2" t="inlineStr">
        <is>
          <t>50125-PTP-002</t>
        </is>
      </c>
      <c r="B373" s="2" t="inlineStr">
        <is>
          <t>PEX T-Piece Reduced Centre 25 x 16 x 25mm</t>
        </is>
      </c>
      <c r="C373" s="3" t="inlineStr">
        <is>
          <t>each</t>
        </is>
      </c>
      <c r="D373" s="4" t="n">
        <v>1</v>
      </c>
      <c r="E373" s="4" t="n"/>
      <c r="F373" s="2">
        <f>IFERROR(D373*E373,"")</f>
        <v/>
      </c>
      <c r="G373" s="3" t="inlineStr">
        <is>
          <t>High</t>
        </is>
      </c>
      <c r="H373" s="3" t="inlineStr">
        <is>
          <t>Approved BOQ</t>
        </is>
      </c>
      <c r="I373" s="2" t="inlineStr">
        <is>
          <t>Baseline standard-house quantity</t>
        </is>
      </c>
    </row>
    <row r="374">
      <c r="A374" s="2" t="inlineStr">
        <is>
          <t>50125-BLA-001</t>
        </is>
      </c>
      <c r="B374" s="2" t="inlineStr">
        <is>
          <t>Laundry Assembly 8" Right Angle</t>
        </is>
      </c>
      <c r="C374" s="3" t="inlineStr">
        <is>
          <t>each</t>
        </is>
      </c>
      <c r="D374" s="4" t="n">
        <v>1</v>
      </c>
      <c r="E374" s="4" t="n"/>
      <c r="F374" s="2">
        <f>IFERROR(D374*E374,"")</f>
        <v/>
      </c>
      <c r="G374" s="3" t="inlineStr">
        <is>
          <t>High</t>
        </is>
      </c>
      <c r="H374" s="3" t="inlineStr">
        <is>
          <t>Approved BOQ</t>
        </is>
      </c>
      <c r="I374" s="2" t="inlineStr">
        <is>
          <t>Baseline standard-house quantity</t>
        </is>
      </c>
    </row>
    <row r="375">
      <c r="A375" s="2" t="inlineStr">
        <is>
          <t>50125-PPX-001</t>
        </is>
      </c>
      <c r="B375" s="2" t="inlineStr">
        <is>
          <t>PEX Pipe 16mm</t>
        </is>
      </c>
      <c r="C375" s="3" t="inlineStr">
        <is>
          <t>m</t>
        </is>
      </c>
      <c r="D375" s="4" t="n">
        <v>5</v>
      </c>
      <c r="E375" s="4" t="n"/>
      <c r="F375" s="2">
        <f>IFERROR(D375*E375,"")</f>
        <v/>
      </c>
      <c r="G375" s="3" t="inlineStr">
        <is>
          <t>High</t>
        </is>
      </c>
      <c r="H375" s="3" t="inlineStr">
        <is>
          <t>Approved BOQ</t>
        </is>
      </c>
      <c r="I375" s="2" t="inlineStr">
        <is>
          <t>Baseline standard-house quantity</t>
        </is>
      </c>
    </row>
    <row r="376">
      <c r="A376" s="2" t="inlineStr">
        <is>
          <t>50125-PPX-002</t>
        </is>
      </c>
      <c r="B376" s="2" t="inlineStr">
        <is>
          <t>PEX Pipe 25mm</t>
        </is>
      </c>
      <c r="C376" s="3" t="inlineStr">
        <is>
          <t>m</t>
        </is>
      </c>
      <c r="D376" s="4" t="n">
        <v>10</v>
      </c>
      <c r="E376" s="4" t="n"/>
      <c r="F376" s="2">
        <f>IFERROR(D376*E376,"")</f>
        <v/>
      </c>
      <c r="G376" s="3" t="inlineStr">
        <is>
          <t>High</t>
        </is>
      </c>
      <c r="H376" s="3" t="inlineStr">
        <is>
          <t>Approved BOQ</t>
        </is>
      </c>
      <c r="I376" s="2" t="inlineStr">
        <is>
          <t>Baseline standard-house quantity</t>
        </is>
      </c>
    </row>
    <row r="377">
      <c r="A377" s="2" t="inlineStr">
        <is>
          <t>50112-DWP-002</t>
        </is>
      </c>
      <c r="B377" s="2" t="inlineStr">
        <is>
          <t>PVC Pipe 50mm x 5800mm</t>
        </is>
      </c>
      <c r="C377" s="3" t="inlineStr">
        <is>
          <t>len</t>
        </is>
      </c>
      <c r="D377" s="4" t="n">
        <v>1</v>
      </c>
      <c r="E377" s="4" t="n"/>
      <c r="F377" s="2">
        <f>IFERROR(D377*E377,"")</f>
        <v/>
      </c>
      <c r="G377" s="3" t="inlineStr">
        <is>
          <t>High</t>
        </is>
      </c>
      <c r="H377" s="3" t="inlineStr">
        <is>
          <t>Approved BOQ</t>
        </is>
      </c>
      <c r="I377" s="2" t="inlineStr">
        <is>
          <t>Baseline standard-house quantity</t>
        </is>
      </c>
    </row>
    <row r="378">
      <c r="A378" s="2" t="inlineStr">
        <is>
          <t>50125-SHO-001</t>
        </is>
      </c>
      <c r="B378" s="2" t="inlineStr">
        <is>
          <t>PVC Plain Bend 50mm x 45degree</t>
        </is>
      </c>
      <c r="C378" s="3" t="inlineStr">
        <is>
          <t>each</t>
        </is>
      </c>
      <c r="D378" s="4" t="n">
        <v>1</v>
      </c>
      <c r="E378" s="4" t="n"/>
      <c r="F378" s="2">
        <f>IFERROR(D378*E378,"")</f>
        <v/>
      </c>
      <c r="G378" s="3" t="inlineStr">
        <is>
          <t>High</t>
        </is>
      </c>
      <c r="H378" s="3" t="inlineStr">
        <is>
          <t>Approved BOQ</t>
        </is>
      </c>
      <c r="I378" s="2" t="inlineStr">
        <is>
          <t>Baseline standard-house quantity</t>
        </is>
      </c>
    </row>
    <row r="379">
      <c r="A379" s="2" t="inlineStr">
        <is>
          <t>50119-FLF-008</t>
        </is>
      </c>
      <c r="B379" s="2" t="inlineStr">
        <is>
          <t>18W LED Oyster Type/Round Light Fitting, 6500K White</t>
        </is>
      </c>
      <c r="C379" s="3" t="inlineStr">
        <is>
          <t>pcs</t>
        </is>
      </c>
      <c r="D379" s="4" t="n">
        <v>1</v>
      </c>
      <c r="E379" s="4" t="n"/>
      <c r="F379" s="2">
        <f>IFERROR(D379*E379,"")</f>
        <v/>
      </c>
      <c r="G379" s="3" t="inlineStr">
        <is>
          <t>High</t>
        </is>
      </c>
      <c r="H379" s="3" t="inlineStr">
        <is>
          <t>Approved BOQ</t>
        </is>
      </c>
      <c r="I379" s="2" t="inlineStr">
        <is>
          <t>Baseline standard-house quantity</t>
        </is>
      </c>
    </row>
    <row r="380">
      <c r="A380" s="2" t="inlineStr">
        <is>
          <t>50119-LIS-002</t>
        </is>
      </c>
      <c r="B380" s="2" t="inlineStr">
        <is>
          <t>light switch 1-gang</t>
        </is>
      </c>
      <c r="C380" s="3" t="inlineStr">
        <is>
          <t>pcs</t>
        </is>
      </c>
      <c r="D380" s="4" t="n">
        <v>1</v>
      </c>
      <c r="E380" s="4" t="n"/>
      <c r="F380" s="2">
        <f>IFERROR(D380*E380,"")</f>
        <v/>
      </c>
      <c r="G380" s="3" t="inlineStr">
        <is>
          <t>High</t>
        </is>
      </c>
      <c r="H380" s="3" t="inlineStr">
        <is>
          <t>Approved BOQ</t>
        </is>
      </c>
      <c r="I380" s="2" t="inlineStr">
        <is>
          <t>Baseline standard-house quantity</t>
        </is>
      </c>
    </row>
    <row r="381">
      <c r="A381" s="2" t="inlineStr">
        <is>
          <t>50119-RCB-002</t>
        </is>
      </c>
      <c r="B381" s="2" t="inlineStr">
        <is>
          <t>RCBO, 10A, 30mA, 1P, load centre type, compact/slim</t>
        </is>
      </c>
      <c r="C381" s="3" t="inlineStr">
        <is>
          <t>pcs</t>
        </is>
      </c>
      <c r="D381" s="4" t="n">
        <v>1</v>
      </c>
      <c r="E381" s="4" t="n"/>
      <c r="F381" s="2">
        <f>IFERROR(D381*E381,"")</f>
        <v/>
      </c>
      <c r="G381" s="3" t="inlineStr">
        <is>
          <t>High</t>
        </is>
      </c>
      <c r="H381" s="3" t="inlineStr">
        <is>
          <t>Approved BOQ</t>
        </is>
      </c>
      <c r="I381" s="2" t="inlineStr">
        <is>
          <t>Baseline standard-house quantity</t>
        </is>
      </c>
    </row>
    <row r="382">
      <c r="A382" s="2" t="inlineStr">
        <is>
          <t>50119-RCB-001</t>
        </is>
      </c>
      <c r="B382" s="2" t="inlineStr">
        <is>
          <t>RCBO, 16A, 30mA, 1P, load centre type, compact/slim</t>
        </is>
      </c>
      <c r="C382" s="3" t="inlineStr">
        <is>
          <t>pcs</t>
        </is>
      </c>
      <c r="D382" s="4" t="n">
        <v>1</v>
      </c>
      <c r="E382" s="4" t="n"/>
      <c r="F382" s="2">
        <f>IFERROR(D382*E382,"")</f>
        <v/>
      </c>
      <c r="G382" s="3" t="inlineStr">
        <is>
          <t>High</t>
        </is>
      </c>
      <c r="H382" s="3" t="inlineStr">
        <is>
          <t>Approved BOQ</t>
        </is>
      </c>
      <c r="I382" s="2" t="inlineStr">
        <is>
          <t>Baseline standard-house quantity</t>
        </is>
      </c>
    </row>
    <row r="383">
      <c r="A383" s="2" t="inlineStr">
        <is>
          <t>50119-CAB-032</t>
        </is>
      </c>
      <c r="B383" s="2" t="inlineStr">
        <is>
          <t>16mm2 2C + E PVC/PVC TPS Flat Cable</t>
        </is>
      </c>
      <c r="C383" s="3" t="inlineStr">
        <is>
          <t>meters</t>
        </is>
      </c>
      <c r="D383" s="4" t="n">
        <v>5</v>
      </c>
      <c r="E383" s="4" t="n"/>
      <c r="F383" s="2">
        <f>IFERROR(D383*E383,"")</f>
        <v/>
      </c>
      <c r="G383" s="3" t="inlineStr">
        <is>
          <t>High</t>
        </is>
      </c>
      <c r="H383" s="3" t="inlineStr">
        <is>
          <t>Approved BOQ</t>
        </is>
      </c>
      <c r="I383" s="2" t="inlineStr">
        <is>
          <t>Baseline standard-house quantity</t>
        </is>
      </c>
    </row>
    <row r="384">
      <c r="A384" s="2" t="inlineStr">
        <is>
          <t>50119-CAB-005</t>
        </is>
      </c>
      <c r="B384" s="2" t="inlineStr">
        <is>
          <t>2.5mm2 2C + E pvc/pvc TPS</t>
        </is>
      </c>
      <c r="C384" s="3" t="inlineStr">
        <is>
          <t>meters</t>
        </is>
      </c>
      <c r="D384" s="4" t="n">
        <v>20</v>
      </c>
      <c r="E384" s="4" t="n"/>
      <c r="F384" s="2">
        <f>IFERROR(D384*E384,"")</f>
        <v/>
      </c>
      <c r="G384" s="3" t="inlineStr">
        <is>
          <t>High</t>
        </is>
      </c>
      <c r="H384" s="3" t="inlineStr">
        <is>
          <t>Approved BOQ</t>
        </is>
      </c>
      <c r="I384" s="2" t="inlineStr">
        <is>
          <t>Baseline standard-house quantity</t>
        </is>
      </c>
    </row>
    <row r="385">
      <c r="A385" s="2" t="inlineStr">
        <is>
          <t>50119-CAB-006</t>
        </is>
      </c>
      <c r="B385" s="2" t="inlineStr">
        <is>
          <t>1.5mm2 2C + E pvc/pvc TPS</t>
        </is>
      </c>
      <c r="C385" s="3" t="inlineStr">
        <is>
          <t>meters</t>
        </is>
      </c>
      <c r="D385" s="4" t="n">
        <v>20</v>
      </c>
      <c r="E385" s="4" t="n"/>
      <c r="F385" s="2">
        <f>IFERROR(D385*E385,"")</f>
        <v/>
      </c>
      <c r="G385" s="3" t="inlineStr">
        <is>
          <t>High</t>
        </is>
      </c>
      <c r="H385" s="3" t="inlineStr">
        <is>
          <t>Approved BOQ</t>
        </is>
      </c>
      <c r="I385" s="2" t="inlineStr">
        <is>
          <t>Baseline standard-house quantity</t>
        </is>
      </c>
    </row>
    <row r="386">
      <c r="A386" s="2" t="inlineStr">
        <is>
          <t>50119-CAB-008</t>
        </is>
      </c>
      <c r="B386" s="2" t="inlineStr">
        <is>
          <t>1.5mm2 Twin Active/Switch Cable, pvc/pvc, TPS</t>
        </is>
      </c>
      <c r="C386" s="3" t="inlineStr">
        <is>
          <t>meters</t>
        </is>
      </c>
      <c r="D386" s="4" t="n">
        <v>10</v>
      </c>
      <c r="E386" s="4" t="n"/>
      <c r="F386" s="2">
        <f>IFERROR(D386*E386,"")</f>
        <v/>
      </c>
      <c r="G386" s="3" t="inlineStr">
        <is>
          <t>High</t>
        </is>
      </c>
      <c r="H386" s="3" t="inlineStr">
        <is>
          <t>Approved BOQ</t>
        </is>
      </c>
      <c r="I386" s="2" t="inlineStr">
        <is>
          <t>Baseline standard-house quantity</t>
        </is>
      </c>
    </row>
    <row r="387">
      <c r="A387" s="2" t="inlineStr">
        <is>
          <t>50111-SCC-020</t>
        </is>
      </c>
      <c r="B387" s="2" t="inlineStr">
        <is>
          <t>Self Drilling, Tapping Metal Screws, Wafer Head 8G x 40mm</t>
        </is>
      </c>
      <c r="C387" s="3" t="inlineStr">
        <is>
          <t>each</t>
        </is>
      </c>
      <c r="D387" s="4" t="n">
        <v>20</v>
      </c>
      <c r="E387" s="4" t="n"/>
      <c r="F387" s="2">
        <f>IFERROR(D387*E387,"")</f>
        <v/>
      </c>
      <c r="G387" s="3" t="inlineStr">
        <is>
          <t>High</t>
        </is>
      </c>
      <c r="H387" s="3" t="inlineStr">
        <is>
          <t>Approved BOQ</t>
        </is>
      </c>
      <c r="I387" s="2" t="inlineStr">
        <is>
          <t>Baseline standard-house quantity</t>
        </is>
      </c>
    </row>
    <row r="388">
      <c r="A388" s="2" t="inlineStr">
        <is>
          <t>50111-SCC-018</t>
        </is>
      </c>
      <c r="B388" s="2" t="inlineStr">
        <is>
          <t>Self Drilling, Tapping Metal Screws, Wafer Head 8G x 16mm</t>
        </is>
      </c>
      <c r="C388" s="3" t="inlineStr">
        <is>
          <t>each</t>
        </is>
      </c>
      <c r="D388" s="4" t="n">
        <v>20</v>
      </c>
      <c r="E388" s="4" t="n"/>
      <c r="F388" s="2">
        <f>IFERROR(D388*E388,"")</f>
        <v/>
      </c>
      <c r="G388" s="3" t="inlineStr">
        <is>
          <t>High</t>
        </is>
      </c>
      <c r="H388" s="3" t="inlineStr">
        <is>
          <t>Approved BOQ</t>
        </is>
      </c>
      <c r="I388" s="2" t="inlineStr">
        <is>
          <t>Baseline standard-house quantity</t>
        </is>
      </c>
    </row>
    <row r="389">
      <c r="A389" s="2" t="inlineStr">
        <is>
          <t>50107-GRO-001</t>
        </is>
      </c>
      <c r="B389" s="2" t="inlineStr">
        <is>
          <t>Accessories | Grommet 35mm Dia</t>
        </is>
      </c>
      <c r="C389" s="3" t="inlineStr">
        <is>
          <t>pcs</t>
        </is>
      </c>
      <c r="D389" s="4" t="n">
        <v>10</v>
      </c>
      <c r="E389" s="4" t="n"/>
      <c r="F389" s="2">
        <f>IFERROR(D389*E389,"")</f>
        <v/>
      </c>
      <c r="G389" s="3" t="inlineStr">
        <is>
          <t>High</t>
        </is>
      </c>
      <c r="H389" s="3" t="inlineStr">
        <is>
          <t>Approved BOQ</t>
        </is>
      </c>
      <c r="I389" s="2" t="inlineStr">
        <is>
          <t>Baseline standard-house quantity</t>
        </is>
      </c>
    </row>
    <row r="390">
      <c r="A390" s="2" t="inlineStr">
        <is>
          <t>50129-KSS-007</t>
        </is>
      </c>
      <c r="B390" s="2" t="inlineStr">
        <is>
          <t>FFE | Single Laundry Sink-w/ plug &amp; Waste</t>
        </is>
      </c>
      <c r="C390" s="3" t="inlineStr">
        <is>
          <t>each</t>
        </is>
      </c>
      <c r="D390" s="4" t="n">
        <v>1</v>
      </c>
      <c r="E390" s="4" t="n"/>
      <c r="F390" s="2">
        <f>IFERROR(D390*E390,"")</f>
        <v/>
      </c>
      <c r="G390" s="3" t="inlineStr">
        <is>
          <t>High</t>
        </is>
      </c>
      <c r="H390" s="3" t="inlineStr">
        <is>
          <t>Approved BOQ</t>
        </is>
      </c>
      <c r="I390" s="2" t="inlineStr">
        <is>
          <t>Baseline standard-house quantity</t>
        </is>
      </c>
    </row>
    <row r="391">
      <c r="A391" s="2" t="inlineStr">
        <is>
          <t>50129-TSL-001</t>
        </is>
      </c>
      <c r="B391" s="2" t="inlineStr">
        <is>
          <t>FFE | Laundry tap mixer</t>
        </is>
      </c>
      <c r="C391" s="3" t="inlineStr">
        <is>
          <t>each</t>
        </is>
      </c>
      <c r="D391" s="4" t="n">
        <v>1</v>
      </c>
      <c r="E391" s="4" t="n"/>
      <c r="F391" s="2">
        <f>IFERROR(D391*E391,"")</f>
        <v/>
      </c>
      <c r="G391" s="3" t="inlineStr">
        <is>
          <t>High</t>
        </is>
      </c>
      <c r="H391" s="3" t="inlineStr">
        <is>
          <t>Approved BOQ</t>
        </is>
      </c>
      <c r="I391" s="2" t="inlineStr">
        <is>
          <t>Baseline standard-house quantity</t>
        </is>
      </c>
    </row>
    <row r="392">
      <c r="A392" s="2" t="inlineStr">
        <is>
          <t>50129-TSL-002</t>
        </is>
      </c>
      <c r="B392" s="2" t="inlineStr">
        <is>
          <t>FFE |Washing Machine Tap</t>
        </is>
      </c>
      <c r="C392" s="3" t="inlineStr">
        <is>
          <t>each</t>
        </is>
      </c>
      <c r="D392" s="4" t="n">
        <v>1</v>
      </c>
      <c r="E392" s="4" t="n"/>
      <c r="F392" s="2">
        <f>IFERROR(D392*E392,"")</f>
        <v/>
      </c>
      <c r="G392" s="3" t="inlineStr">
        <is>
          <t>High</t>
        </is>
      </c>
      <c r="H392" s="3" t="inlineStr">
        <is>
          <t>Approved BOQ</t>
        </is>
      </c>
      <c r="I392" s="2" t="inlineStr">
        <is>
          <t>Baseline standard-house quantity</t>
        </is>
      </c>
    </row>
    <row r="393">
      <c r="A393" s="26" t="inlineStr">
        <is>
          <t>TOTAL SUPPLY COST (PGK)</t>
        </is>
      </c>
      <c r="F393" s="7">
        <f>SUM(F5:F392)</f>
        <v/>
      </c>
      <c r="I393" s="27" t="inlineStr">
        <is>
          <t>Add rate library in col E to activate total</t>
        </is>
      </c>
    </row>
  </sheetData>
  <autoFilter ref="A4:I393"/>
  <mergeCells count="17">
    <mergeCell ref="A317:I317"/>
    <mergeCell ref="A3:I3"/>
    <mergeCell ref="A12:I12"/>
    <mergeCell ref="A2:I2"/>
    <mergeCell ref="A5:I5"/>
    <mergeCell ref="A126:I126"/>
    <mergeCell ref="A53:I53"/>
    <mergeCell ref="A274:I274"/>
    <mergeCell ref="A393:E393"/>
    <mergeCell ref="A143:I143"/>
    <mergeCell ref="A328:I328"/>
    <mergeCell ref="A304:I304"/>
    <mergeCell ref="A225:I225"/>
    <mergeCell ref="A1:I1"/>
    <mergeCell ref="A87:I87"/>
    <mergeCell ref="A78:I78"/>
    <mergeCell ref="A218:I2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3" topLeftCell="A36" activePane="bottomLeft" state="frozen"/>
      <selection pane="bottomLeft" activeCell="A1" sqref="A1:F1"/>
    </sheetView>
  </sheetViews>
  <sheetFormatPr baseColWidth="8" defaultRowHeight="14.4"/>
  <cols>
    <col width="24" customWidth="1" style="15" min="1" max="1"/>
    <col width="34" customWidth="1" style="15" min="2" max="2"/>
    <col width="12" customWidth="1" style="15" min="3" max="3"/>
    <col width="10" customWidth="1" style="15" min="4" max="4"/>
    <col width="34" customWidth="1" style="15" min="5" max="5"/>
    <col width="20" customWidth="1" style="15" min="6" max="6"/>
  </cols>
  <sheetData>
    <row r="1" ht="25.95" customHeight="1" s="15">
      <c r="A1" s="21" t="inlineStr">
        <is>
          <t>STANDARD GEOMETRY — G303 WITH LAUNDRY (HIGHSET)</t>
        </is>
      </c>
    </row>
    <row r="2">
      <c r="A2" s="14" t="inlineStr">
        <is>
          <t>Baseline geometry populated from the approved G303 with Laundry architectural and structural sets. Review only if the standard design changes.</t>
        </is>
      </c>
    </row>
    <row r="3">
      <c r="A3" s="1" t="inlineStr">
        <is>
          <t>Element</t>
        </is>
      </c>
      <c r="B3" s="1" t="inlineStr">
        <is>
          <t>Description</t>
        </is>
      </c>
      <c r="C3" s="1" t="inlineStr">
        <is>
          <t>Value</t>
        </is>
      </c>
      <c r="D3" s="1" t="inlineStr">
        <is>
          <t>Unit</t>
        </is>
      </c>
      <c r="E3" s="1" t="inlineStr">
        <is>
          <t>Notes</t>
        </is>
      </c>
      <c r="F3" s="1" t="inlineStr">
        <is>
          <t>Source</t>
        </is>
      </c>
    </row>
    <row r="4" ht="18" customHeight="1" s="15">
      <c r="A4" s="20" t="inlineStr">
        <is>
          <t>OVERALL BUILDING</t>
        </is>
      </c>
      <c r="B4" s="24" t="n"/>
      <c r="C4" s="24" t="n"/>
      <c r="D4" s="24" t="n"/>
      <c r="E4" s="24" t="n"/>
      <c r="F4" s="25" t="n"/>
    </row>
    <row r="5">
      <c r="A5" s="5" t="inlineStr">
        <is>
          <t>Total Floor Area</t>
        </is>
      </c>
      <c r="B5" s="5" t="inlineStr">
        <is>
          <t>GFA including verandah</t>
        </is>
      </c>
      <c r="C5" s="8" t="n">
        <v>86.40000000000001</v>
      </c>
      <c r="D5" s="6" t="inlineStr">
        <is>
          <t>m²</t>
        </is>
      </c>
      <c r="E5" s="5" t="inlineStr">
        <is>
          <t>From 12.00m x 7.20m standard title / overall plan</t>
        </is>
      </c>
      <c r="F5" s="6" t="inlineStr">
        <is>
          <t>Approved BOQ / A-002</t>
        </is>
      </c>
    </row>
    <row r="6">
      <c r="A6" s="2" t="inlineStr">
        <is>
          <t>Internal Floor Area</t>
        </is>
      </c>
      <c r="B6" s="2" t="inlineStr">
        <is>
          <t>Habitable area only</t>
        </is>
      </c>
      <c r="C6" s="8" t="n">
        <v>64.8</v>
      </c>
      <c r="D6" s="3" t="inlineStr">
        <is>
          <t>m²</t>
        </is>
      </c>
      <c r="E6" s="2" t="inlineStr">
        <is>
          <t>Approx internal first-floor enclosed area (9.0m x 7.2m)</t>
        </is>
      </c>
      <c r="F6" s="3" t="inlineStr">
        <is>
          <t>A-002 First Floor Plan</t>
        </is>
      </c>
    </row>
    <row r="7">
      <c r="A7" s="5" t="inlineStr">
        <is>
          <t>Verandah Area</t>
        </is>
      </c>
      <c r="B7" s="5" t="inlineStr">
        <is>
          <t>External deck / verandah</t>
        </is>
      </c>
      <c r="C7" s="8" t="n">
        <v>21.6</v>
      </c>
      <c r="D7" s="6" t="inlineStr">
        <is>
          <t>m²</t>
        </is>
      </c>
      <c r="E7" s="5" t="inlineStr">
        <is>
          <t>Verandah/deck area approx. 3.0m x 7.2m</t>
        </is>
      </c>
      <c r="F7" s="6" t="inlineStr">
        <is>
          <t>A-002 First Floor Plan</t>
        </is>
      </c>
    </row>
    <row r="8">
      <c r="A8" s="2" t="inlineStr">
        <is>
          <t>Building Length</t>
        </is>
      </c>
      <c r="B8" s="2" t="inlineStr">
        <is>
          <t>Overall building length</t>
        </is>
      </c>
      <c r="C8" s="8" t="n">
        <v>12</v>
      </c>
      <c r="D8" s="3" t="inlineStr">
        <is>
          <t>m</t>
        </is>
      </c>
      <c r="E8" s="2" t="inlineStr">
        <is>
          <t>Overall length from standard title</t>
        </is>
      </c>
      <c r="F8" s="3" t="inlineStr">
        <is>
          <t>Approved BOQ title</t>
        </is>
      </c>
    </row>
    <row r="9">
      <c r="A9" s="5" t="inlineStr">
        <is>
          <t>Building Width</t>
        </is>
      </c>
      <c r="B9" s="5" t="inlineStr">
        <is>
          <t>Overall building width</t>
        </is>
      </c>
      <c r="C9" s="8" t="n">
        <v>7.2</v>
      </c>
      <c r="D9" s="6" t="inlineStr">
        <is>
          <t>m</t>
        </is>
      </c>
      <c r="E9" s="5" t="inlineStr">
        <is>
          <t>Overall width from standard title</t>
        </is>
      </c>
      <c r="F9" s="6" t="inlineStr">
        <is>
          <t>Approved BOQ title</t>
        </is>
      </c>
    </row>
    <row r="10">
      <c r="A10" s="2" t="inlineStr">
        <is>
          <t>Floor Height</t>
        </is>
      </c>
      <c r="B10" s="2" t="inlineStr">
        <is>
          <t>Floor level above ground</t>
        </is>
      </c>
      <c r="C10" s="8" t="n">
        <v>2590</v>
      </c>
      <c r="D10" s="3" t="inlineStr">
        <is>
          <t>mm</t>
        </is>
      </c>
      <c r="E10" s="2" t="inlineStr">
        <is>
          <t>Finished floor level above ground line</t>
        </is>
      </c>
      <c r="F10" s="3" t="inlineStr">
        <is>
          <t>A-005 Section A</t>
        </is>
      </c>
    </row>
    <row r="11">
      <c r="A11" s="5" t="inlineStr">
        <is>
          <t>Wall Height</t>
        </is>
      </c>
      <c r="B11" s="5" t="inlineStr">
        <is>
          <t>Internal wall height</t>
        </is>
      </c>
      <c r="C11" s="8" t="n">
        <v>2400</v>
      </c>
      <c r="D11" s="6" t="inlineStr">
        <is>
          <t>mm</t>
        </is>
      </c>
      <c r="E11" s="5" t="inlineStr">
        <is>
          <t>Typical internal wall height used for lining rules</t>
        </is>
      </c>
      <c r="F11" s="6" t="inlineStr">
        <is>
          <t>Standard detail / verify if changed</t>
        </is>
      </c>
    </row>
    <row r="12">
      <c r="A12" s="2" t="inlineStr">
        <is>
          <t>Roof Pitch</t>
        </is>
      </c>
      <c r="B12" s="2" t="inlineStr">
        <is>
          <t>Main roof pitch</t>
        </is>
      </c>
      <c r="C12" s="8" t="n">
        <v>18</v>
      </c>
      <c r="D12" s="3" t="inlineStr">
        <is>
          <t>°</t>
        </is>
      </c>
      <c r="E12" s="2" t="inlineStr">
        <is>
          <t>Main roof pitch</t>
        </is>
      </c>
      <c r="F12" s="3" t="inlineStr">
        <is>
          <t>A-003 Roof Plan / S-005 Roof Framing</t>
        </is>
      </c>
    </row>
    <row r="13" ht="18" customHeight="1" s="15">
      <c r="A13" s="20" t="inlineStr">
        <is>
          <t>ROOMS</t>
        </is>
      </c>
      <c r="B13" s="24" t="n"/>
      <c r="C13" s="24" t="n"/>
      <c r="D13" s="24" t="n"/>
      <c r="E13" s="24" t="n"/>
      <c r="F13" s="25" t="n"/>
    </row>
    <row r="14">
      <c r="A14" s="5" t="inlineStr">
        <is>
          <t>Bedroom 1</t>
        </is>
      </c>
      <c r="B14" s="5" t="inlineStr">
        <is>
          <t>Master bedroom floor area</t>
        </is>
      </c>
      <c r="C14" s="8" t="n">
        <v>8.9</v>
      </c>
      <c r="D14" s="6" t="inlineStr">
        <is>
          <t>m²</t>
        </is>
      </c>
      <c r="E14" s="5" t="inlineStr">
        <is>
          <t>Approx from plan chain dimensions</t>
        </is>
      </c>
      <c r="F14" s="6" t="inlineStr">
        <is>
          <t>A-002 First Floor Plan</t>
        </is>
      </c>
    </row>
    <row r="15">
      <c r="A15" s="2" t="inlineStr">
        <is>
          <t>Bedroom 2</t>
        </is>
      </c>
      <c r="B15" s="2" t="inlineStr">
        <is>
          <t>Bedroom 2 floor area</t>
        </is>
      </c>
      <c r="C15" s="8" t="n">
        <v>8.1</v>
      </c>
      <c r="D15" s="3" t="inlineStr">
        <is>
          <t>m²</t>
        </is>
      </c>
      <c r="E15" s="2" t="inlineStr">
        <is>
          <t>Approx from plan chain dimensions</t>
        </is>
      </c>
      <c r="F15" s="3" t="inlineStr">
        <is>
          <t>A-002 First Floor Plan</t>
        </is>
      </c>
    </row>
    <row r="16">
      <c r="A16" s="5" t="inlineStr">
        <is>
          <t>Bedroom 3</t>
        </is>
      </c>
      <c r="B16" s="5" t="inlineStr">
        <is>
          <t>Bedroom 3 floor area</t>
        </is>
      </c>
      <c r="C16" s="8" t="n">
        <v>7.5</v>
      </c>
      <c r="D16" s="6" t="inlineStr">
        <is>
          <t>m²</t>
        </is>
      </c>
      <c r="E16" s="5" t="inlineStr">
        <is>
          <t>Approx from plan chain dimensions</t>
        </is>
      </c>
      <c r="F16" s="6" t="inlineStr">
        <is>
          <t>A-002 First Floor Plan</t>
        </is>
      </c>
    </row>
    <row r="17">
      <c r="A17" s="2" t="inlineStr">
        <is>
          <t>Bathroom</t>
        </is>
      </c>
      <c r="B17" s="2" t="inlineStr">
        <is>
          <t>Bathroom floor area</t>
        </is>
      </c>
      <c r="C17" s="8" t="n">
        <v>5.8</v>
      </c>
      <c r="D17" s="3" t="inlineStr">
        <is>
          <t>m²</t>
        </is>
      </c>
      <c r="E17" s="2" t="inlineStr">
        <is>
          <t>Bathroom plan approx. 1.95m x 2.99m</t>
        </is>
      </c>
      <c r="F17" s="3" t="inlineStr">
        <is>
          <t>A-007 Bathroom Plan</t>
        </is>
      </c>
    </row>
    <row r="18">
      <c r="A18" s="5" t="inlineStr">
        <is>
          <t>Toilet</t>
        </is>
      </c>
      <c r="B18" s="5" t="inlineStr">
        <is>
          <t>Toilet / WC floor area</t>
        </is>
      </c>
      <c r="C18" s="8" t="n">
        <v>0</v>
      </c>
      <c r="D18" s="6" t="inlineStr">
        <is>
          <t>m²</t>
        </is>
      </c>
      <c r="E18" s="5" t="inlineStr">
        <is>
          <t>No separate WC room in this standard model</t>
        </is>
      </c>
      <c r="F18" s="6" t="inlineStr">
        <is>
          <t>A-002 First Floor Plan</t>
        </is>
      </c>
    </row>
    <row r="19">
      <c r="A19" s="2" t="inlineStr">
        <is>
          <t>Kitchen</t>
        </is>
      </c>
      <c r="B19" s="2" t="inlineStr">
        <is>
          <t>Kitchen floor area</t>
        </is>
      </c>
      <c r="C19" s="8" t="n">
        <v>8.5</v>
      </c>
      <c r="D19" s="3" t="inlineStr">
        <is>
          <t>m²</t>
        </is>
      </c>
      <c r="E19" s="2" t="inlineStr">
        <is>
          <t>Kitchen zone allowance from plan</t>
        </is>
      </c>
      <c r="F19" s="3" t="inlineStr">
        <is>
          <t>A-002 / A-008</t>
        </is>
      </c>
    </row>
    <row r="20">
      <c r="A20" s="5" t="inlineStr">
        <is>
          <t>Living / Dining</t>
        </is>
      </c>
      <c r="B20" s="5" t="inlineStr">
        <is>
          <t>Living + dining combined area</t>
        </is>
      </c>
      <c r="C20" s="8" t="n">
        <v>18</v>
      </c>
      <c r="D20" s="6" t="inlineStr">
        <is>
          <t>m²</t>
        </is>
      </c>
      <c r="E20" s="5" t="inlineStr">
        <is>
          <t>Living room zone allowance from plan</t>
        </is>
      </c>
      <c r="F20" s="6" t="inlineStr">
        <is>
          <t>A-002 First Floor Plan</t>
        </is>
      </c>
    </row>
    <row r="21">
      <c r="A21" s="2" t="inlineStr">
        <is>
          <t>Laundry</t>
        </is>
      </c>
      <c r="B21" s="2" t="inlineStr">
        <is>
          <t>Laundry floor area</t>
        </is>
      </c>
      <c r="C21" s="8" t="n">
        <v>2.9</v>
      </c>
      <c r="D21" s="3" t="inlineStr">
        <is>
          <t>m²</t>
        </is>
      </c>
      <c r="E21" s="2" t="inlineStr">
        <is>
          <t>Ground laundry approx. 1.70m x 1.68m</t>
        </is>
      </c>
      <c r="F21" s="3" t="inlineStr">
        <is>
          <t>A-007 Laundry Plan / A-001 Ground Floor</t>
        </is>
      </c>
    </row>
    <row r="22">
      <c r="A22" s="5" t="inlineStr">
        <is>
          <t>Storage</t>
        </is>
      </c>
      <c r="B22" s="5" t="inlineStr">
        <is>
          <t>Storage room floor area</t>
        </is>
      </c>
      <c r="C22" s="8" t="n">
        <v>0</v>
      </c>
      <c r="D22" s="6" t="inlineStr">
        <is>
          <t>m²</t>
        </is>
      </c>
      <c r="E22" s="5" t="inlineStr">
        <is>
          <t>No separate store in standard model</t>
        </is>
      </c>
      <c r="F22" s="6" t="inlineStr">
        <is>
          <t>A-002 First Floor Plan</t>
        </is>
      </c>
    </row>
    <row r="23">
      <c r="A23" s="2" t="inlineStr">
        <is>
          <t>Corridor / Hallway</t>
        </is>
      </c>
      <c r="B23" s="2" t="inlineStr">
        <is>
          <t>Circulation area</t>
        </is>
      </c>
      <c r="C23" s="8" t="n">
        <v>5.1</v>
      </c>
      <c r="D23" s="3" t="inlineStr">
        <is>
          <t>m²</t>
        </is>
      </c>
      <c r="E23" s="2" t="inlineStr">
        <is>
          <t>Circulation / corridor allowance</t>
        </is>
      </c>
      <c r="F23" s="3" t="inlineStr">
        <is>
          <t>A-002 First Floor Plan</t>
        </is>
      </c>
    </row>
    <row r="24" ht="18" customHeight="1" s="15">
      <c r="A24" s="20" t="inlineStr">
        <is>
          <t>WALLS</t>
        </is>
      </c>
      <c r="B24" s="24" t="n"/>
      <c r="C24" s="24" t="n"/>
      <c r="D24" s="24" t="n"/>
      <c r="E24" s="24" t="n"/>
      <c r="F24" s="25" t="n"/>
    </row>
    <row r="25">
      <c r="A25" s="5" t="inlineStr">
        <is>
          <t>Total External Wall Length</t>
        </is>
      </c>
      <c r="B25" s="5" t="inlineStr">
        <is>
          <t>Perimeter of external walls</t>
        </is>
      </c>
      <c r="C25" s="8" t="n">
        <v>32.4</v>
      </c>
      <c r="D25" s="6" t="inlineStr">
        <is>
          <t>lm</t>
        </is>
      </c>
      <c r="E25" s="5" t="inlineStr">
        <is>
          <t>Approx enclosed first-floor wall perimeter only</t>
        </is>
      </c>
      <c r="F25" s="6" t="inlineStr">
        <is>
          <t>A-002 / S-004</t>
        </is>
      </c>
    </row>
    <row r="26">
      <c r="A26" s="2" t="inlineStr">
        <is>
          <t>Total Internal Wall Length</t>
        </is>
      </c>
      <c r="B26" s="2" t="inlineStr">
        <is>
          <t>All internal partition walls</t>
        </is>
      </c>
      <c r="C26" s="8" t="n">
        <v>26</v>
      </c>
      <c r="D26" s="3" t="inlineStr">
        <is>
          <t>lm</t>
        </is>
      </c>
      <c r="E26" s="2" t="inlineStr">
        <is>
          <t>Approx internal partitions for standard layout</t>
        </is>
      </c>
      <c r="F26" s="3" t="inlineStr">
        <is>
          <t>A-002 / S-004</t>
        </is>
      </c>
    </row>
    <row r="27">
      <c r="A27" s="5" t="inlineStr">
        <is>
          <t>External Wall Area</t>
        </is>
      </c>
      <c r="B27" s="5" t="inlineStr">
        <is>
          <t>Total external wall face area</t>
        </is>
      </c>
      <c r="C27" s="8" t="n">
        <v>77.8</v>
      </c>
      <c r="D27" s="6" t="inlineStr">
        <is>
          <t>m²</t>
        </is>
      </c>
      <c r="E27" s="5" t="inlineStr">
        <is>
          <t>External wall area based on 32.4lm x 2.4m wall height</t>
        </is>
      </c>
      <c r="F27" s="6" t="inlineStr">
        <is>
          <t>Calculated</t>
        </is>
      </c>
    </row>
    <row r="28">
      <c r="A28" s="2" t="inlineStr">
        <is>
          <t>Internal Wall Area</t>
        </is>
      </c>
      <c r="B28" s="2" t="inlineStr">
        <is>
          <t>Total internal lining area</t>
        </is>
      </c>
      <c r="C28" s="8" t="n">
        <v>124.8</v>
      </c>
      <c r="D28" s="3" t="inlineStr">
        <is>
          <t>m²</t>
        </is>
      </c>
      <c r="E28" s="2" t="inlineStr">
        <is>
          <t>Internal wall area based on 26.0lm x 2 faces x 2.4m</t>
        </is>
      </c>
      <c r="F28" s="3" t="inlineStr">
        <is>
          <t>Calculated</t>
        </is>
      </c>
    </row>
    <row r="29">
      <c r="A29" s="5" t="inlineStr">
        <is>
          <t>Wet Area Wall Area</t>
        </is>
      </c>
      <c r="B29" s="5" t="inlineStr">
        <is>
          <t>Tiled wall area (bath/shower)</t>
        </is>
      </c>
      <c r="C29" s="8" t="n">
        <v>11</v>
      </c>
      <c r="D29" s="6" t="inlineStr">
        <is>
          <t>m²</t>
        </is>
      </c>
      <c r="E29" s="5" t="inlineStr">
        <is>
          <t>Bathroom shower + splash zones allowance</t>
        </is>
      </c>
      <c r="F29" s="6" t="inlineStr">
        <is>
          <t>A-007 / detail rules</t>
        </is>
      </c>
    </row>
    <row r="30" ht="18" customHeight="1" s="15">
      <c r="A30" s="20" t="inlineStr">
        <is>
          <t>ROOF</t>
        </is>
      </c>
      <c r="B30" s="24" t="n"/>
      <c r="C30" s="24" t="n"/>
      <c r="D30" s="24" t="n"/>
      <c r="E30" s="24" t="n"/>
      <c r="F30" s="25" t="n"/>
    </row>
    <row r="31">
      <c r="A31" s="5" t="inlineStr">
        <is>
          <t>Roof Plan Area</t>
        </is>
      </c>
      <c r="B31" s="5" t="inlineStr">
        <is>
          <t>Roof footprint (plan view)</t>
        </is>
      </c>
      <c r="C31" s="8" t="n">
        <v>86.40000000000001</v>
      </c>
      <c r="D31" s="6" t="inlineStr">
        <is>
          <t>m²</t>
        </is>
      </c>
      <c r="E31" s="5" t="inlineStr">
        <is>
          <t>Roof footprint approx equal to building footprint</t>
        </is>
      </c>
      <c r="F31" s="6" t="inlineStr">
        <is>
          <t>A-003 Roof Plan</t>
        </is>
      </c>
    </row>
    <row r="32">
      <c r="A32" s="2" t="inlineStr">
        <is>
          <t>Roof Surface Area</t>
        </is>
      </c>
      <c r="B32" s="2" t="inlineStr">
        <is>
          <t>Actual sloped roof area</t>
        </is>
      </c>
      <c r="C32" s="8" t="n">
        <v>90.8</v>
      </c>
      <c r="D32" s="3" t="inlineStr">
        <is>
          <t>m²</t>
        </is>
      </c>
      <c r="E32" s="2" t="inlineStr">
        <is>
          <t>Roof footprint adjusted for 18° pitch</t>
        </is>
      </c>
      <c r="F32" s="3" t="inlineStr">
        <is>
          <t>Calculated</t>
        </is>
      </c>
    </row>
    <row r="33">
      <c r="A33" s="5" t="inlineStr">
        <is>
          <t>Ridge Length</t>
        </is>
      </c>
      <c r="B33" s="5" t="inlineStr">
        <is>
          <t>Total ridge cap length</t>
        </is>
      </c>
      <c r="C33" s="8" t="n">
        <v>9</v>
      </c>
      <c r="D33" s="6" t="inlineStr">
        <is>
          <t>lm</t>
        </is>
      </c>
      <c r="E33" s="5" t="inlineStr">
        <is>
          <t>Main ridge length allowance</t>
        </is>
      </c>
      <c r="F33" s="6" t="inlineStr">
        <is>
          <t>A-003 Roof Plan</t>
        </is>
      </c>
    </row>
    <row r="34">
      <c r="A34" s="2" t="inlineStr">
        <is>
          <t>Barge Length</t>
        </is>
      </c>
      <c r="B34" s="2" t="inlineStr">
        <is>
          <t>Total barge capping length</t>
        </is>
      </c>
      <c r="C34" s="8" t="n">
        <v>15.2</v>
      </c>
      <c r="D34" s="3" t="inlineStr">
        <is>
          <t>lm</t>
        </is>
      </c>
      <c r="E34" s="2" t="inlineStr">
        <is>
          <t>Two gable ends at 18° pitch over 7.2m span</t>
        </is>
      </c>
      <c r="F34" s="3" t="inlineStr">
        <is>
          <t>Calculated</t>
        </is>
      </c>
    </row>
    <row r="35">
      <c r="A35" s="5" t="inlineStr">
        <is>
          <t>Gutter Length</t>
        </is>
      </c>
      <c r="B35" s="5" t="inlineStr">
        <is>
          <t>Total gutter run</t>
        </is>
      </c>
      <c r="C35" s="8" t="n">
        <v>24</v>
      </c>
      <c r="D35" s="6" t="inlineStr">
        <is>
          <t>lm</t>
        </is>
      </c>
      <c r="E35" s="5" t="inlineStr">
        <is>
          <t>Approx front + rear gutter runs</t>
        </is>
      </c>
      <c r="F35" s="6" t="inlineStr">
        <is>
          <t>A-003 Roof Plan</t>
        </is>
      </c>
    </row>
    <row r="36">
      <c r="A36" s="2" t="inlineStr">
        <is>
          <t>Fascia Length</t>
        </is>
      </c>
      <c r="B36" s="2" t="inlineStr">
        <is>
          <t>Total fascia length</t>
        </is>
      </c>
      <c r="C36" s="8" t="n">
        <v>24</v>
      </c>
      <c r="D36" s="3" t="inlineStr">
        <is>
          <t>lm</t>
        </is>
      </c>
      <c r="E36" s="2" t="inlineStr">
        <is>
          <t>Approx fascia to guttered eaves</t>
        </is>
      </c>
      <c r="F36" s="3" t="inlineStr">
        <is>
          <t>A-003 / A-011</t>
        </is>
      </c>
    </row>
    <row r="37">
      <c r="A37" s="5" t="inlineStr">
        <is>
          <t>No. of Downpipes</t>
        </is>
      </c>
      <c r="B37" s="5" t="inlineStr">
        <is>
          <t>Number of downpipe locations</t>
        </is>
      </c>
      <c r="C37" s="8" t="n">
        <v>5</v>
      </c>
      <c r="D37" s="6" t="inlineStr">
        <is>
          <t>each</t>
        </is>
      </c>
      <c r="E37" s="5" t="inlineStr">
        <is>
          <t>From approved roof plumbing count</t>
        </is>
      </c>
      <c r="F37" s="6" t="inlineStr">
        <is>
          <t>Approved BOQ</t>
        </is>
      </c>
    </row>
    <row r="38" ht="18" customHeight="1" s="15">
      <c r="A38" s="20" t="inlineStr">
        <is>
          <t>DOORS &amp; WINDOWS</t>
        </is>
      </c>
      <c r="B38" s="24" t="n"/>
      <c r="C38" s="24" t="n"/>
      <c r="D38" s="24" t="n"/>
      <c r="E38" s="24" t="n"/>
      <c r="F38" s="25" t="n"/>
    </row>
    <row r="39">
      <c r="A39" s="5" t="inlineStr">
        <is>
          <t>Door A count</t>
        </is>
      </c>
      <c r="B39" s="5" t="inlineStr">
        <is>
          <t>Solid core door 2040x920mm</t>
        </is>
      </c>
      <c r="C39" s="8" t="n">
        <v>1</v>
      </c>
      <c r="D39" s="6" t="inlineStr">
        <is>
          <t>each</t>
        </is>
      </c>
      <c r="E39" s="5" t="inlineStr">
        <is>
          <t>Solid core door 2040x920</t>
        </is>
      </c>
      <c r="F39" s="6" t="inlineStr">
        <is>
          <t>A-013 Door Schedule / approved BOQ</t>
        </is>
      </c>
    </row>
    <row r="40">
      <c r="A40" s="2" t="inlineStr">
        <is>
          <t>Door B count</t>
        </is>
      </c>
      <c r="B40" s="2" t="inlineStr">
        <is>
          <t>Hollow core door 2040x820mm</t>
        </is>
      </c>
      <c r="C40" s="8" t="n">
        <v>4</v>
      </c>
      <c r="D40" s="3" t="inlineStr">
        <is>
          <t>each</t>
        </is>
      </c>
      <c r="E40" s="2" t="inlineStr">
        <is>
          <t>Hollow core door 2040x820 incl laundry door</t>
        </is>
      </c>
      <c r="F40" s="3" t="inlineStr">
        <is>
          <t>A-013 Door Schedule / approved BOQ</t>
        </is>
      </c>
    </row>
    <row r="41">
      <c r="A41" s="5" t="inlineStr">
        <is>
          <t>Door C count</t>
        </is>
      </c>
      <c r="B41" s="5" t="inlineStr">
        <is>
          <t>Hollow core door 2040x720mm</t>
        </is>
      </c>
      <c r="C41" s="8" t="n">
        <v>1</v>
      </c>
      <c r="D41" s="6" t="inlineStr">
        <is>
          <t>each</t>
        </is>
      </c>
      <c r="E41" s="5" t="inlineStr">
        <is>
          <t>Hollow core door 2040x720</t>
        </is>
      </c>
      <c r="F41" s="6" t="inlineStr">
        <is>
          <t>A-013 Door Schedule / approved BOQ</t>
        </is>
      </c>
    </row>
    <row r="42">
      <c r="A42" s="2" t="inlineStr">
        <is>
          <t>Door C Hollow count</t>
        </is>
      </c>
      <c r="B42" s="2" t="inlineStr">
        <is>
          <t>Solid core door 2040x820mm</t>
        </is>
      </c>
      <c r="C42" s="8" t="n">
        <v>0</v>
      </c>
      <c r="D42" s="3" t="inlineStr">
        <is>
          <t>each</t>
        </is>
      </c>
      <c r="E42" s="2" t="inlineStr">
        <is>
          <t>No additional solid-core 820 door in standard set</t>
        </is>
      </c>
      <c r="F42" s="3" t="inlineStr">
        <is>
          <t>Approved BOQ</t>
        </is>
      </c>
    </row>
    <row r="43">
      <c r="A43" s="5" t="inlineStr">
        <is>
          <t>Door D count</t>
        </is>
      </c>
      <c r="B43" s="5" t="inlineStr">
        <is>
          <t>Additional non-standard door type</t>
        </is>
      </c>
      <c r="C43" s="8" t="n">
        <v>0</v>
      </c>
      <c r="D43" s="6" t="inlineStr">
        <is>
          <t>each</t>
        </is>
      </c>
      <c r="E43" s="5" t="inlineStr">
        <is>
          <t>No additional alternate door type in standard set</t>
        </is>
      </c>
      <c r="F43" s="6" t="inlineStr">
        <is>
          <t>Approved BOQ</t>
        </is>
      </c>
    </row>
    <row r="44">
      <c r="A44" s="2" t="inlineStr">
        <is>
          <t>Window A count</t>
        </is>
      </c>
      <c r="B44" s="2" t="inlineStr">
        <is>
          <t>Timber louvre window 1080x1200mm</t>
        </is>
      </c>
      <c r="C44" s="8" t="n">
        <v>8</v>
      </c>
      <c r="D44" s="3" t="inlineStr">
        <is>
          <t>each</t>
        </is>
      </c>
      <c r="E44" s="2" t="inlineStr">
        <is>
          <t>Timber louvre window 1080x1200</t>
        </is>
      </c>
      <c r="F44" s="3" t="inlineStr">
        <is>
          <t>A-014 Window Schedule / approved BOQ</t>
        </is>
      </c>
    </row>
    <row r="45">
      <c r="A45" s="5" t="inlineStr">
        <is>
          <t>Window B count</t>
        </is>
      </c>
      <c r="B45" s="5" t="inlineStr">
        <is>
          <t>Timber louvre window 800x620mm</t>
        </is>
      </c>
      <c r="C45" s="8" t="n">
        <v>2</v>
      </c>
      <c r="D45" s="6" t="inlineStr">
        <is>
          <t>each</t>
        </is>
      </c>
      <c r="E45" s="5" t="inlineStr">
        <is>
          <t>Timber louvre window 800x620 incl laundry</t>
        </is>
      </c>
      <c r="F45" s="6" t="inlineStr">
        <is>
          <t>A-014 Window Schedule / approved BOQ</t>
        </is>
      </c>
    </row>
    <row r="46">
      <c r="A46" s="2" t="inlineStr">
        <is>
          <t>Window C count</t>
        </is>
      </c>
      <c r="B46" s="2" t="inlineStr">
        <is>
          <t>Timber louvre window 1200x1080mm</t>
        </is>
      </c>
      <c r="C46" s="8" t="n">
        <v>0</v>
      </c>
      <c r="D46" s="3" t="inlineStr">
        <is>
          <t>each</t>
        </is>
      </c>
      <c r="E46" s="2" t="inlineStr">
        <is>
          <t>No separate 1200x1080 window type in this standard set</t>
        </is>
      </c>
      <c r="F46" s="3" t="inlineStr">
        <is>
          <t>Approved BOQ</t>
        </is>
      </c>
    </row>
    <row r="47">
      <c r="A47" s="5" t="inlineStr">
        <is>
          <t>Window D count</t>
        </is>
      </c>
      <c r="B47" s="5" t="inlineStr">
        <is>
          <t>Timber louvre window 1850x1200mm</t>
        </is>
      </c>
      <c r="C47" s="8" t="n">
        <v>1</v>
      </c>
      <c r="D47" s="6" t="inlineStr">
        <is>
          <t>each</t>
        </is>
      </c>
      <c r="E47" s="5" t="inlineStr">
        <is>
          <t>Timber louvre window 1850x1200</t>
        </is>
      </c>
      <c r="F47" s="6" t="inlineStr">
        <is>
          <t>A-014 Window Schedule / approved BOQ</t>
        </is>
      </c>
    </row>
    <row r="48" ht="18" customHeight="1" s="15">
      <c r="A48" s="20" t="inlineStr">
        <is>
          <t>STRUCTURE</t>
        </is>
      </c>
      <c r="B48" s="24" t="n"/>
      <c r="C48" s="24" t="n"/>
      <c r="D48" s="24" t="n"/>
      <c r="E48" s="24" t="n"/>
      <c r="F48" s="25" t="n"/>
    </row>
    <row r="49">
      <c r="A49" s="5" t="inlineStr">
        <is>
          <t>No. of Piers / Posts</t>
        </is>
      </c>
      <c r="B49" s="5" t="inlineStr">
        <is>
          <t>Total column / post count</t>
        </is>
      </c>
      <c r="C49" s="8" t="n">
        <v>15</v>
      </c>
      <c r="D49" s="6" t="inlineStr">
        <is>
          <t>each</t>
        </is>
      </c>
      <c r="E49" s="5" t="inlineStr">
        <is>
          <t>Pier heads / post locations from footing plan</t>
        </is>
      </c>
      <c r="F49" s="6" t="inlineStr">
        <is>
          <t>S-001 Footing Layout / approved BOQ</t>
        </is>
      </c>
    </row>
    <row r="50">
      <c r="A50" s="2" t="inlineStr">
        <is>
          <t>No. of Stair Flights</t>
        </is>
      </c>
      <c r="B50" s="2" t="inlineStr">
        <is>
          <t>External stair flights</t>
        </is>
      </c>
      <c r="C50" s="8" t="n">
        <v>2</v>
      </c>
      <c r="D50" s="3" t="inlineStr">
        <is>
          <t>each</t>
        </is>
      </c>
      <c r="E50" s="2" t="inlineStr">
        <is>
          <t>Two stair flights with mid-landing</t>
        </is>
      </c>
      <c r="F50" s="3" t="inlineStr">
        <is>
          <t>S-015 Stair Details</t>
        </is>
      </c>
    </row>
    <row r="51">
      <c r="A51" s="5" t="inlineStr">
        <is>
          <t>No. of Stair Steps</t>
        </is>
      </c>
      <c r="B51" s="5" t="inlineStr">
        <is>
          <t>Total steps all flights</t>
        </is>
      </c>
      <c r="C51" s="8" t="n">
        <v>14</v>
      </c>
      <c r="D51" s="6" t="inlineStr">
        <is>
          <t>each</t>
        </is>
      </c>
      <c r="E51" s="5" t="inlineStr">
        <is>
          <t>5 riser + 9 riser stair set in approved BOQ</t>
        </is>
      </c>
      <c r="F51" s="6" t="inlineStr">
        <is>
          <t>S-015 / approved BOQ</t>
        </is>
      </c>
    </row>
    <row r="52">
      <c r="A52" s="2" t="inlineStr">
        <is>
          <t>Balustrade Length</t>
        </is>
      </c>
      <c r="B52" s="2" t="inlineStr">
        <is>
          <t>Total balustrade run</t>
        </is>
      </c>
      <c r="C52" s="8" t="n">
        <v>24</v>
      </c>
      <c r="D52" s="3" t="inlineStr">
        <is>
          <t>lm</t>
        </is>
      </c>
      <c r="E52" s="2" t="inlineStr">
        <is>
          <t>Approx total balustrade run from 4 no-slope + 2 slope panels</t>
        </is>
      </c>
      <c r="F52" s="3" t="inlineStr">
        <is>
          <t>S-016 to S-018 / approved BOQ</t>
        </is>
      </c>
    </row>
    <row r="53">
      <c r="A53" s="5" t="inlineStr">
        <is>
          <t>Floor Panel Count</t>
        </is>
      </c>
      <c r="B53" s="5" t="inlineStr">
        <is>
          <t>Total floor panel units</t>
        </is>
      </c>
      <c r="C53" s="8" t="n">
        <v>12</v>
      </c>
      <c r="D53" s="6" t="inlineStr">
        <is>
          <t>each</t>
        </is>
      </c>
      <c r="E53" s="5" t="inlineStr">
        <is>
          <t>9 standard + 2 verandah + 1 landing panel</t>
        </is>
      </c>
      <c r="F53" s="6" t="inlineStr">
        <is>
          <t>S-002 / approved BOQ</t>
        </is>
      </c>
    </row>
  </sheetData>
  <mergeCells count="8">
    <mergeCell ref="A24:F24"/>
    <mergeCell ref="A2:F2"/>
    <mergeCell ref="A38:F38"/>
    <mergeCell ref="A13:F13"/>
    <mergeCell ref="A1:F1"/>
    <mergeCell ref="A4:F4"/>
    <mergeCell ref="A48:F48"/>
    <mergeCell ref="A30:F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29" activePane="bottomLeft" state="frozen"/>
      <selection pane="bottomLeft" activeCell="D5" sqref="D5"/>
    </sheetView>
  </sheetViews>
  <sheetFormatPr baseColWidth="8" defaultRowHeight="14.4"/>
  <cols>
    <col width="10" customWidth="1" style="15" min="1" max="1"/>
    <col width="28" customWidth="1" style="15" min="2" max="2"/>
    <col width="26" customWidth="1" style="15" min="3" max="3"/>
    <col width="30" customWidth="1" style="15" min="4" max="4"/>
    <col width="10" customWidth="1" style="15" min="5" max="5"/>
    <col width="16" customWidth="1" style="15" min="6" max="6"/>
    <col width="28" customWidth="1" style="15" min="7" max="7"/>
  </cols>
  <sheetData>
    <row r="1" ht="25.95" customHeight="1" s="15">
      <c r="A1" s="21" t="inlineStr">
        <is>
          <t>RULES LIBRARY — G303 WITH LAUNDRY Scaling Rules</t>
        </is>
      </c>
    </row>
    <row r="2">
      <c r="A2" s="23" t="inlineStr">
        <is>
          <t>Rules revised from the approved G303 with Laundry architectural + structural details. Use BOM / approved BOQ where noted.</t>
        </is>
      </c>
    </row>
    <row r="3">
      <c r="A3" s="1" t="inlineStr">
        <is>
          <t>Rule ID</t>
        </is>
      </c>
      <c r="B3" s="1" t="inlineStr">
        <is>
          <t>Item (Dependent)</t>
        </is>
      </c>
      <c r="C3" s="1" t="inlineStr">
        <is>
          <t>Driven By (Bulk Item)</t>
        </is>
      </c>
      <c r="D3" s="1" t="inlineStr">
        <is>
          <t>Formula / Rule</t>
        </is>
      </c>
      <c r="E3" s="1" t="inlineStr">
        <is>
          <t>Unit</t>
        </is>
      </c>
      <c r="F3" s="1" t="inlineStr">
        <is>
          <t>Example</t>
        </is>
      </c>
      <c r="G3" s="1" t="inlineStr">
        <is>
          <t>Notes / Source</t>
        </is>
      </c>
    </row>
    <row r="4" ht="18" customHeight="1" s="15">
      <c r="A4" s="22" t="inlineStr">
        <is>
          <t>ROOF RULES</t>
        </is>
      </c>
      <c r="B4" s="24" t="n"/>
      <c r="C4" s="24" t="n"/>
      <c r="D4" s="24" t="n"/>
      <c r="E4" s="24" t="n"/>
      <c r="F4" s="24" t="n"/>
      <c r="G4" s="25" t="n"/>
    </row>
    <row r="5">
      <c r="A5" s="9" t="inlineStr">
        <is>
          <t>R-001</t>
        </is>
      </c>
      <c r="B5" s="10" t="inlineStr">
        <is>
          <t>Roof Battens (41mm Top Hat)</t>
        </is>
      </c>
      <c r="C5" s="10" t="inlineStr">
        <is>
          <t>Roof Surface Area (m²)</t>
        </is>
      </c>
      <c r="D5" s="10" t="inlineStr">
        <is>
          <t>Roof Area ÷ 0.8m spacing</t>
        </is>
      </c>
      <c r="E5" s="9" t="inlineStr">
        <is>
          <t>len</t>
        </is>
      </c>
      <c r="F5" s="10" t="inlineStr">
        <is>
          <t>80m² ÷ 0.8 = 100 lm</t>
        </is>
      </c>
      <c r="G5" s="10" t="inlineStr">
        <is>
          <t>A-011/A-012 show 40mm battens at 800mm spacing</t>
        </is>
      </c>
    </row>
    <row r="6" ht="26.4" customHeight="1" s="15">
      <c r="A6" s="3" t="inlineStr">
        <is>
          <t>R-002</t>
        </is>
      </c>
      <c r="B6" s="2" t="inlineStr">
        <is>
          <t>Roof Sarking / Sisalation — Roof</t>
        </is>
      </c>
      <c r="C6" s="2" t="inlineStr">
        <is>
          <t>Roof Surface Area (m²)</t>
        </is>
      </c>
      <c r="D6" s="2" t="inlineStr">
        <is>
          <t>Roof Area ÷ 73m² effective / roll</t>
        </is>
      </c>
      <c r="E6" s="3" t="inlineStr">
        <is>
          <t>rolls</t>
        </is>
      </c>
      <c r="F6" s="2" t="inlineStr">
        <is>
          <t>90m² → 2 rolls</t>
        </is>
      </c>
      <c r="G6" s="2" t="inlineStr">
        <is>
          <t>1.35x60m roll less laps/overlaps</t>
        </is>
      </c>
    </row>
    <row r="7">
      <c r="A7" s="9" t="inlineStr">
        <is>
          <t>R-003</t>
        </is>
      </c>
      <c r="B7" s="10" t="inlineStr">
        <is>
          <t>Chicken Wire Mesh</t>
        </is>
      </c>
      <c r="C7" s="10" t="inlineStr">
        <is>
          <t>Roof Surface Area (m²)</t>
        </is>
      </c>
      <c r="D7" s="10" t="inlineStr">
        <is>
          <t>Roof Area ÷ roll coverage</t>
        </is>
      </c>
      <c r="E7" s="9" t="inlineStr">
        <is>
          <t>rolls</t>
        </is>
      </c>
      <c r="F7" s="10" t="n"/>
      <c r="G7" s="10" t="inlineStr">
        <is>
          <t>Check roll size</t>
        </is>
      </c>
    </row>
    <row r="8">
      <c r="A8" s="3" t="inlineStr">
        <is>
          <t>R-004</t>
        </is>
      </c>
      <c r="B8" s="2" t="inlineStr">
        <is>
          <t>Bird Proofing Foam</t>
        </is>
      </c>
      <c r="C8" s="2" t="inlineStr">
        <is>
          <t>Ridge + Barge Length (lm)</t>
        </is>
      </c>
      <c r="D8" s="2" t="inlineStr">
        <is>
          <t>Ridge Length + Barge Length</t>
        </is>
      </c>
      <c r="E8" s="3" t="inlineStr">
        <is>
          <t>lm</t>
        </is>
      </c>
      <c r="F8" s="2" t="inlineStr">
        <is>
          <t>9 + 15.2 = 24.2lm</t>
        </is>
      </c>
      <c r="G8" s="2" t="inlineStr">
        <is>
          <t>Run full ridge and verge edges</t>
        </is>
      </c>
    </row>
    <row r="9">
      <c r="A9" s="9" t="inlineStr">
        <is>
          <t>R-005</t>
        </is>
      </c>
      <c r="B9" s="10" t="inlineStr">
        <is>
          <t>Ridge Cap</t>
        </is>
      </c>
      <c r="C9" s="10" t="inlineStr">
        <is>
          <t>Ridge Length (lm)</t>
        </is>
      </c>
      <c r="D9" s="10" t="inlineStr">
        <is>
          <t>RoundUp(Ridge Length ÷ 5.8m)</t>
        </is>
      </c>
      <c r="E9" s="9" t="inlineStr">
        <is>
          <t>len</t>
        </is>
      </c>
      <c r="F9" s="10" t="inlineStr">
        <is>
          <t>9lm ÷ 5.8 = 2 lengths</t>
        </is>
      </c>
      <c r="G9" s="10" t="inlineStr">
        <is>
          <t>Use standard 5800mm stock length</t>
        </is>
      </c>
    </row>
    <row r="10">
      <c r="A10" s="3" t="inlineStr">
        <is>
          <t>R-006</t>
        </is>
      </c>
      <c r="B10" s="2" t="inlineStr">
        <is>
          <t>Barge Cap</t>
        </is>
      </c>
      <c r="C10" s="2" t="inlineStr">
        <is>
          <t>Barge Length (lm)</t>
        </is>
      </c>
      <c r="D10" s="2" t="inlineStr">
        <is>
          <t>RoundUp(Barge Length ÷ 5.8m)</t>
        </is>
      </c>
      <c r="E10" s="3" t="inlineStr">
        <is>
          <t>len</t>
        </is>
      </c>
      <c r="F10" s="2" t="inlineStr">
        <is>
          <t>15.2lm ÷ 5.8 = 3 lengths</t>
        </is>
      </c>
      <c r="G10" s="2" t="inlineStr">
        <is>
          <t>Use standard 5800mm stock length</t>
        </is>
      </c>
    </row>
    <row r="11">
      <c r="A11" s="9" t="inlineStr">
        <is>
          <t>R-007</t>
        </is>
      </c>
      <c r="B11" s="10" t="inlineStr">
        <is>
          <t>Roof Screws SC-06 / SC-01 family</t>
        </is>
      </c>
      <c r="C11" s="10" t="inlineStr">
        <is>
          <t>Roof Sheet count</t>
        </is>
      </c>
      <c r="D11" s="10" t="inlineStr">
        <is>
          <t>Sheets × screw rate per support line</t>
        </is>
      </c>
      <c r="E11" s="9" t="inlineStr">
        <is>
          <t>each</t>
        </is>
      </c>
      <c r="F11" s="10" t="inlineStr">
        <is>
          <t>38 sheets x allowance</t>
        </is>
      </c>
      <c r="G11" s="10" t="inlineStr">
        <is>
          <t>Check exact screw family against cladding / flashing detail</t>
        </is>
      </c>
    </row>
    <row r="12">
      <c r="A12" s="3" t="inlineStr">
        <is>
          <t>R-008</t>
        </is>
      </c>
      <c r="B12" s="2" t="inlineStr">
        <is>
          <t>Gutter Hangers</t>
        </is>
      </c>
      <c r="C12" s="2" t="inlineStr">
        <is>
          <t>Gutter Length (lm)</t>
        </is>
      </c>
      <c r="D12" s="2" t="inlineStr">
        <is>
          <t>1 hanger per 1.0m</t>
        </is>
      </c>
      <c r="E12" s="3" t="inlineStr">
        <is>
          <t>each</t>
        </is>
      </c>
      <c r="F12" s="2" t="inlineStr">
        <is>
          <t>20lm → 20 hangers</t>
        </is>
      </c>
      <c r="G12" s="2" t="n"/>
    </row>
    <row r="13">
      <c r="A13" s="9" t="inlineStr">
        <is>
          <t>R-009</t>
        </is>
      </c>
      <c r="B13" s="10" t="inlineStr">
        <is>
          <t>Fascia Clips</t>
        </is>
      </c>
      <c r="C13" s="10" t="inlineStr">
        <is>
          <t>Fascia Length (lm)</t>
        </is>
      </c>
      <c r="D13" s="10" t="inlineStr">
        <is>
          <t>1 clip per 600mm</t>
        </is>
      </c>
      <c r="E13" s="9" t="inlineStr">
        <is>
          <t>each</t>
        </is>
      </c>
      <c r="F13" s="10" t="inlineStr">
        <is>
          <t>20lm → 34 clips</t>
        </is>
      </c>
      <c r="G13" s="10" t="n"/>
    </row>
    <row r="14" ht="18" customHeight="1" s="15">
      <c r="A14" s="22" t="inlineStr">
        <is>
          <t>CEILING RULES</t>
        </is>
      </c>
      <c r="B14" s="24" t="n"/>
      <c r="C14" s="24" t="n"/>
      <c r="D14" s="24" t="n"/>
      <c r="E14" s="24" t="n"/>
      <c r="F14" s="24" t="n"/>
      <c r="G14" s="25" t="n"/>
    </row>
    <row r="15">
      <c r="A15" s="9" t="inlineStr">
        <is>
          <t>R-010</t>
        </is>
      </c>
      <c r="B15" s="10" t="inlineStr">
        <is>
          <t>Ceiling Battens (20mm Top Hat)</t>
        </is>
      </c>
      <c r="C15" s="10" t="inlineStr">
        <is>
          <t>Ceiling Area (m²)</t>
        </is>
      </c>
      <c r="D15" s="10" t="inlineStr">
        <is>
          <t>Ceiling Area ÷ 0.4m spacing + edge allowance</t>
        </is>
      </c>
      <c r="E15" s="9" t="inlineStr">
        <is>
          <t>len</t>
        </is>
      </c>
      <c r="F15" s="10" t="inlineStr">
        <is>
          <t>65m² ÷ 0.4 ≈ 163lm</t>
        </is>
      </c>
      <c r="G15" s="10" t="inlineStr">
        <is>
          <t>Validate against actual ceiling zones incl ground laundry</t>
        </is>
      </c>
    </row>
    <row r="16" ht="26.4" customHeight="1" s="15">
      <c r="A16" s="3" t="inlineStr">
        <is>
          <t>R-011</t>
        </is>
      </c>
      <c r="B16" s="2" t="inlineStr">
        <is>
          <t>FC Sheet Ceiling 6mm</t>
        </is>
      </c>
      <c r="C16" s="2" t="inlineStr">
        <is>
          <t>Ceiling Area (m²)</t>
        </is>
      </c>
      <c r="D16" s="2" t="inlineStr">
        <is>
          <t>RoundUp((Ceiling Area ÷ 2.88) × 1.10)</t>
        </is>
      </c>
      <c r="E16" s="3" t="inlineStr">
        <is>
          <t>each</t>
        </is>
      </c>
      <c r="F16" s="2" t="inlineStr">
        <is>
          <t>65m² → 25 sheets</t>
        </is>
      </c>
      <c r="G16" s="2" t="inlineStr">
        <is>
          <t>1.2x2.4 sheet with 10% waste</t>
        </is>
      </c>
    </row>
    <row r="17">
      <c r="A17" s="9" t="inlineStr">
        <is>
          <t>R-012</t>
        </is>
      </c>
      <c r="B17" s="10" t="inlineStr">
        <is>
          <t>Ceiling Lining Screws SC-10</t>
        </is>
      </c>
      <c r="C17" s="10" t="inlineStr">
        <is>
          <t>FC Sheet Ceiling count</t>
        </is>
      </c>
      <c r="D17" s="10" t="inlineStr">
        <is>
          <t>FC Sheets × 20 screws</t>
        </is>
      </c>
      <c r="E17" s="9" t="inlineStr">
        <is>
          <t>each</t>
        </is>
      </c>
      <c r="F17" s="10" t="n"/>
      <c r="G17" s="10" t="inlineStr">
        <is>
          <t>200mm spacing</t>
        </is>
      </c>
    </row>
    <row r="18" ht="18" customHeight="1" s="15">
      <c r="A18" s="22" t="inlineStr">
        <is>
          <t>WALL RULES</t>
        </is>
      </c>
      <c r="B18" s="24" t="n"/>
      <c r="C18" s="24" t="n"/>
      <c r="D18" s="24" t="n"/>
      <c r="E18" s="24" t="n"/>
      <c r="F18" s="24" t="n"/>
      <c r="G18" s="25" t="n"/>
    </row>
    <row r="19">
      <c r="A19" s="9" t="inlineStr">
        <is>
          <t>R-013</t>
        </is>
      </c>
      <c r="B19" s="10" t="inlineStr">
        <is>
          <t>FC Sheet Wall 6mm</t>
        </is>
      </c>
      <c r="C19" s="10" t="inlineStr">
        <is>
          <t>Internal Wall Area (m²)</t>
        </is>
      </c>
      <c r="D19" s="10" t="inlineStr">
        <is>
          <t>RoundUp((Wall Area ÷ 3.24) × 1.10)</t>
        </is>
      </c>
      <c r="E19" s="9" t="inlineStr">
        <is>
          <t>each</t>
        </is>
      </c>
      <c r="F19" s="10" t="inlineStr">
        <is>
          <t>125m² → 43 sheets</t>
        </is>
      </c>
      <c r="G19" s="10" t="inlineStr">
        <is>
          <t>Internal wall lining only; ext cladding is weatherboard/panel rib</t>
        </is>
      </c>
    </row>
    <row r="20">
      <c r="A20" s="3" t="inlineStr">
        <is>
          <t>R-014</t>
        </is>
      </c>
      <c r="B20" s="2" t="inlineStr">
        <is>
          <t>Wall Sisalation (Building Wrap)</t>
        </is>
      </c>
      <c r="C20" s="2" t="inlineStr">
        <is>
          <t>External Wall Area (m²)</t>
        </is>
      </c>
      <c r="D20" s="2" t="inlineStr">
        <is>
          <t>External Wall Area ÷ 73m² effective / roll</t>
        </is>
      </c>
      <c r="E20" s="3" t="inlineStr">
        <is>
          <t>rolls</t>
        </is>
      </c>
      <c r="F20" s="2" t="inlineStr">
        <is>
          <t>78m² → 2 rolls</t>
        </is>
      </c>
      <c r="G20" s="2" t="inlineStr">
        <is>
          <t>1.35x60m roll less overlap</t>
        </is>
      </c>
    </row>
    <row r="21">
      <c r="A21" s="9" t="inlineStr">
        <is>
          <t>R-015</t>
        </is>
      </c>
      <c r="B21" s="10" t="inlineStr">
        <is>
          <t>Stud Adhesive</t>
        </is>
      </c>
      <c r="C21" s="10" t="inlineStr">
        <is>
          <t>FC Sheet Wall count</t>
        </is>
      </c>
      <c r="D21" s="10" t="inlineStr">
        <is>
          <t>1 tube per 5 sheets</t>
        </is>
      </c>
      <c r="E21" s="9" t="inlineStr">
        <is>
          <t>each</t>
        </is>
      </c>
      <c r="F21" s="10" t="inlineStr">
        <is>
          <t>69 sheets → 14 tubes</t>
        </is>
      </c>
      <c r="G21" s="10" t="n"/>
    </row>
    <row r="22">
      <c r="A22" s="3" t="inlineStr">
        <is>
          <t>R-016</t>
        </is>
      </c>
      <c r="B22" s="2" t="inlineStr">
        <is>
          <t>PVC H Joiners</t>
        </is>
      </c>
      <c r="C22" s="2" t="inlineStr">
        <is>
          <t>FC Sheet Wall count</t>
        </is>
      </c>
      <c r="D22" s="2" t="inlineStr">
        <is>
          <t>FC Sheets × 0.5</t>
        </is>
      </c>
      <c r="E22" s="3" t="inlineStr">
        <is>
          <t>len</t>
        </is>
      </c>
      <c r="F22" s="2" t="n"/>
      <c r="G22" s="2" t="inlineStr">
        <is>
          <t>Approx 1 joiner per 2 sheets</t>
        </is>
      </c>
    </row>
    <row r="23">
      <c r="A23" s="9" t="inlineStr">
        <is>
          <t>R-017</t>
        </is>
      </c>
      <c r="B23" s="10" t="inlineStr">
        <is>
          <t>Wall Screws SC-06</t>
        </is>
      </c>
      <c r="C23" s="10" t="inlineStr">
        <is>
          <t>FC Sheet Wall count</t>
        </is>
      </c>
      <c r="D23" s="10" t="inlineStr">
        <is>
          <t>FC Sheets × 18 screws</t>
        </is>
      </c>
      <c r="E23" s="9" t="inlineStr">
        <is>
          <t>each</t>
        </is>
      </c>
      <c r="F23" s="10" t="inlineStr">
        <is>
          <t>43 sheets → 774 screws</t>
        </is>
      </c>
      <c r="G23" s="10" t="inlineStr">
        <is>
          <t>Verify if liquid nail + screws both required</t>
        </is>
      </c>
    </row>
    <row r="24" ht="26.4" customHeight="1" s="15">
      <c r="A24" s="3" t="inlineStr">
        <is>
          <t>R-018</t>
        </is>
      </c>
      <c r="B24" s="2" t="inlineStr">
        <is>
          <t>External Cladding Weatherboard</t>
        </is>
      </c>
      <c r="C24" s="2" t="inlineStr">
        <is>
          <t>External Wall Area (m²)</t>
        </is>
      </c>
      <c r="D24" s="2" t="inlineStr">
        <is>
          <t>Wall Area ÷ (0.19m cover × 4.2m length)</t>
        </is>
      </c>
      <c r="E24" s="3" t="inlineStr">
        <is>
          <t>len</t>
        </is>
      </c>
      <c r="F24" s="2" t="n"/>
      <c r="G24" s="2" t="inlineStr">
        <is>
          <t>190mm effective cover</t>
        </is>
      </c>
    </row>
    <row r="25" ht="26.4" customHeight="1" s="15">
      <c r="A25" s="9" t="inlineStr">
        <is>
          <t>R-019</t>
        </is>
      </c>
      <c r="B25" s="10" t="inlineStr">
        <is>
          <t>Weatherboard Stud Clips</t>
        </is>
      </c>
      <c r="C25" s="10" t="inlineStr">
        <is>
          <t>Weatherboard count</t>
        </is>
      </c>
      <c r="D25" s="10" t="inlineStr">
        <is>
          <t>1 clip per stud per board = boards × studs</t>
        </is>
      </c>
      <c r="E25" s="9" t="inlineStr">
        <is>
          <t>each</t>
        </is>
      </c>
      <c r="F25" s="10" t="n"/>
      <c r="G25" s="10" t="inlineStr">
        <is>
          <t>Studs at 600mm spacing</t>
        </is>
      </c>
    </row>
    <row r="26" ht="18" customHeight="1" s="15">
      <c r="A26" s="22" t="inlineStr">
        <is>
          <t>FLOOR RULES</t>
        </is>
      </c>
      <c r="B26" s="24" t="n"/>
      <c r="C26" s="24" t="n"/>
      <c r="D26" s="24" t="n"/>
      <c r="E26" s="24" t="n"/>
      <c r="F26" s="24" t="n"/>
      <c r="G26" s="25" t="n"/>
    </row>
    <row r="27">
      <c r="A27" s="9" t="inlineStr">
        <is>
          <t>R-020</t>
        </is>
      </c>
      <c r="B27" s="10" t="inlineStr">
        <is>
          <t>FC Sheet Floor 18mm</t>
        </is>
      </c>
      <c r="C27" s="10" t="inlineStr">
        <is>
          <t>Floor Area (m²)</t>
        </is>
      </c>
      <c r="D27" s="10" t="inlineStr">
        <is>
          <t>RoundUp((Floor Area ÷ 2.88) × 1.05)</t>
        </is>
      </c>
      <c r="E27" s="9" t="inlineStr">
        <is>
          <t>each</t>
        </is>
      </c>
      <c r="F27" s="10" t="inlineStr">
        <is>
          <t>65m² → 24 sheets</t>
        </is>
      </c>
      <c r="G27" s="10" t="inlineStr">
        <is>
          <t>18mm FC floor sheet over sub-floor</t>
        </is>
      </c>
    </row>
    <row r="28">
      <c r="A28" s="3" t="inlineStr">
        <is>
          <t>R-021</t>
        </is>
      </c>
      <c r="B28" s="2" t="inlineStr">
        <is>
          <t>Vinyl Floor Plank</t>
        </is>
      </c>
      <c r="C28" s="2" t="inlineStr">
        <is>
          <t>Vinyl Floor Area (m²)</t>
        </is>
      </c>
      <c r="D28" s="2" t="inlineStr">
        <is>
          <t>Vinyl Area × 1.10</t>
        </is>
      </c>
      <c r="E28" s="3" t="inlineStr">
        <is>
          <t>m²</t>
        </is>
      </c>
      <c r="F28" s="2" t="inlineStr">
        <is>
          <t>59m² → 65m² order qty</t>
        </is>
      </c>
      <c r="G28" s="2" t="inlineStr">
        <is>
          <t>Exclude tile/deck areas</t>
        </is>
      </c>
    </row>
    <row r="29">
      <c r="A29" s="9" t="inlineStr">
        <is>
          <t>R-022</t>
        </is>
      </c>
      <c r="B29" s="10" t="inlineStr">
        <is>
          <t>Ceramic Floor Tiles</t>
        </is>
      </c>
      <c r="C29" s="10" t="inlineStr">
        <is>
          <t>Tile Floor Area (m²)</t>
        </is>
      </c>
      <c r="D29" s="10" t="inlineStr">
        <is>
          <t>Tile Area × 1.10</t>
        </is>
      </c>
      <c r="E29" s="9" t="inlineStr">
        <is>
          <t>m²</t>
        </is>
      </c>
      <c r="F29" s="10" t="inlineStr">
        <is>
          <t>9m² → 9.9m² order qty</t>
        </is>
      </c>
      <c r="G29" s="10" t="inlineStr">
        <is>
          <t>Bathroom + laundry tile zones only</t>
        </is>
      </c>
    </row>
    <row r="30">
      <c r="A30" s="3" t="inlineStr">
        <is>
          <t>R-023</t>
        </is>
      </c>
      <c r="B30" s="2" t="inlineStr">
        <is>
          <t>Tile Adhesive</t>
        </is>
      </c>
      <c r="C30" s="2" t="inlineStr">
        <is>
          <t>Tile Area (m²)</t>
        </is>
      </c>
      <c r="D30" s="2" t="inlineStr">
        <is>
          <t>1 bag per 4m²</t>
        </is>
      </c>
      <c r="E30" s="3" t="inlineStr">
        <is>
          <t>each</t>
        </is>
      </c>
      <c r="F30" s="2" t="inlineStr">
        <is>
          <t>40m² → 10 bags</t>
        </is>
      </c>
      <c r="G30" s="2" t="inlineStr">
        <is>
          <t>20kg bag coverage</t>
        </is>
      </c>
    </row>
    <row r="31">
      <c r="A31" s="9" t="inlineStr">
        <is>
          <t>R-024</t>
        </is>
      </c>
      <c r="B31" s="10" t="inlineStr">
        <is>
          <t>Tile Grout</t>
        </is>
      </c>
      <c r="C31" s="10" t="inlineStr">
        <is>
          <t>Tile Area (m²)</t>
        </is>
      </c>
      <c r="D31" s="10" t="inlineStr">
        <is>
          <t>1 bag per 5m²</t>
        </is>
      </c>
      <c r="E31" s="9" t="inlineStr">
        <is>
          <t>each</t>
        </is>
      </c>
      <c r="F31" s="10" t="n"/>
      <c r="G31" s="10" t="inlineStr">
        <is>
          <t>Adjust for grout joint size</t>
        </is>
      </c>
    </row>
    <row r="32">
      <c r="A32" s="3" t="inlineStr">
        <is>
          <t>R-025</t>
        </is>
      </c>
      <c r="B32" s="2" t="inlineStr">
        <is>
          <t>Tile Spacers 4mm</t>
        </is>
      </c>
      <c r="C32" s="2" t="inlineStr">
        <is>
          <t>Tile Area (m²)</t>
        </is>
      </c>
      <c r="D32" s="2" t="inlineStr">
        <is>
          <t>1 packet per 10m²</t>
        </is>
      </c>
      <c r="E32" s="3" t="inlineStr">
        <is>
          <t>pkt</t>
        </is>
      </c>
      <c r="F32" s="2" t="n"/>
      <c r="G32" s="2" t="n"/>
    </row>
    <row r="33">
      <c r="A33" s="9" t="inlineStr">
        <is>
          <t>R-026</t>
        </is>
      </c>
      <c r="B33" s="10" t="inlineStr">
        <is>
          <t>Vinyl Plank Adhesive</t>
        </is>
      </c>
      <c r="C33" s="10" t="inlineStr">
        <is>
          <t>Vinyl Floor Area (m²)</t>
        </is>
      </c>
      <c r="D33" s="10" t="inlineStr">
        <is>
          <t>1 tin per 15m²</t>
        </is>
      </c>
      <c r="E33" s="9" t="inlineStr">
        <is>
          <t>each</t>
        </is>
      </c>
      <c r="F33" s="10" t="n"/>
      <c r="G33" s="10" t="inlineStr">
        <is>
          <t>15L tin</t>
        </is>
      </c>
    </row>
    <row r="34">
      <c r="A34" s="3" t="inlineStr">
        <is>
          <t>R-027</t>
        </is>
      </c>
      <c r="B34" s="2" t="inlineStr">
        <is>
          <t>Waterproofing Membrane</t>
        </is>
      </c>
      <c r="C34" s="2" t="inlineStr">
        <is>
          <t>Wet Area Floor + Shower Wall (m²)</t>
        </is>
      </c>
      <c r="D34" s="2" t="inlineStr">
        <is>
          <t>1 bucket per 10m² equivalent area</t>
        </is>
      </c>
      <c r="E34" s="3" t="inlineStr">
        <is>
          <t>bucket</t>
        </is>
      </c>
      <c r="F34" s="2" t="inlineStr">
        <is>
          <t>16m² → 2 buckets</t>
        </is>
      </c>
      <c r="G34" s="2" t="inlineStr">
        <is>
          <t>Account for floor + shower wall coverage</t>
        </is>
      </c>
    </row>
    <row r="35" ht="18" customHeight="1" s="15">
      <c r="A35" s="22" t="inlineStr">
        <is>
          <t>STRUCTURAL / FIXING RULES</t>
        </is>
      </c>
      <c r="B35" s="24" t="n"/>
      <c r="C35" s="24" t="n"/>
      <c r="D35" s="24" t="n"/>
      <c r="E35" s="24" t="n"/>
      <c r="F35" s="24" t="n"/>
      <c r="G35" s="25" t="n"/>
    </row>
    <row r="36">
      <c r="A36" s="9" t="inlineStr">
        <is>
          <t>R-028</t>
        </is>
      </c>
      <c r="B36" s="10" t="inlineStr">
        <is>
          <t>Framecad Wall (lm)</t>
        </is>
      </c>
      <c r="C36" s="10" t="inlineStr">
        <is>
          <t>Approved standard wall baseline / delta</t>
        </is>
      </c>
      <c r="D36" s="10" t="inlineStr">
        <is>
          <t>Use approved baseline 753lm; adjust only changed walls</t>
        </is>
      </c>
      <c r="E36" s="9" t="inlineStr">
        <is>
          <t>lm</t>
        </is>
      </c>
      <c r="F36" s="10" t="inlineStr">
        <is>
          <t>753lm baseline</t>
        </is>
      </c>
      <c r="G36" s="10" t="inlineStr">
        <is>
          <t>Approved BOQ overrides generic area formula</t>
        </is>
      </c>
    </row>
    <row r="37" ht="26.4" customHeight="1" s="15">
      <c r="A37" s="3" t="inlineStr">
        <is>
          <t>R-029</t>
        </is>
      </c>
      <c r="B37" s="2" t="inlineStr">
        <is>
          <t>Framecad Roof Truss (lm)</t>
        </is>
      </c>
      <c r="C37" s="2" t="inlineStr">
        <is>
          <t>Approved standard roof baseline / BOM</t>
        </is>
      </c>
      <c r="D37" s="2" t="inlineStr">
        <is>
          <t>Use approved baseline 490lm unless BOM differs</t>
        </is>
      </c>
      <c r="E37" s="3" t="inlineStr">
        <is>
          <t>lm</t>
        </is>
      </c>
      <c r="F37" s="2" t="inlineStr">
        <is>
          <t>490lm baseline</t>
        </is>
      </c>
      <c r="G37" s="2" t="inlineStr">
        <is>
          <t>BOM / approved BOQ = high confidence</t>
        </is>
      </c>
    </row>
    <row r="38">
      <c r="A38" s="9" t="inlineStr">
        <is>
          <t>R-030</t>
        </is>
      </c>
      <c r="B38" s="10" t="inlineStr">
        <is>
          <t>Structural Screws SC-02</t>
        </is>
      </c>
      <c r="C38" s="10" t="inlineStr">
        <is>
          <t>Framecad Wall lm</t>
        </is>
      </c>
      <c r="D38" s="10" t="inlineStr">
        <is>
          <t>Wall lm × 8 screws/m</t>
        </is>
      </c>
      <c r="E38" s="9" t="inlineStr">
        <is>
          <t>each</t>
        </is>
      </c>
      <c r="F38" s="10" t="n"/>
      <c r="G38" s="10" t="inlineStr">
        <is>
          <t>Approximate</t>
        </is>
      </c>
    </row>
    <row r="39">
      <c r="A39" s="3" t="inlineStr">
        <is>
          <t>R-031</t>
        </is>
      </c>
      <c r="B39" s="2" t="inlineStr">
        <is>
          <t>Structural Screws SC-04</t>
        </is>
      </c>
      <c r="C39" s="2" t="inlineStr">
        <is>
          <t>Framecad Wall lm</t>
        </is>
      </c>
      <c r="D39" s="2" t="inlineStr">
        <is>
          <t>Wall lm × 4 screws/m</t>
        </is>
      </c>
      <c r="E39" s="3" t="inlineStr">
        <is>
          <t>each</t>
        </is>
      </c>
      <c r="F39" s="2" t="n"/>
      <c r="G39" s="2" t="n"/>
    </row>
    <row r="40">
      <c r="A40" s="9" t="inlineStr">
        <is>
          <t>R-032</t>
        </is>
      </c>
      <c r="B40" s="10" t="inlineStr">
        <is>
          <t>Triple Grips (L+R)</t>
        </is>
      </c>
      <c r="C40" s="10" t="inlineStr">
        <is>
          <t>Roof Truss count</t>
        </is>
      </c>
      <c r="D40" s="10" t="inlineStr">
        <is>
          <t>2 per truss (1L + 1R)</t>
        </is>
      </c>
      <c r="E40" s="9" t="inlineStr">
        <is>
          <t>each</t>
        </is>
      </c>
      <c r="F40" s="10" t="n"/>
      <c r="G40" s="10" t="n"/>
    </row>
    <row r="41" ht="26.4" customHeight="1" s="15">
      <c r="A41" s="3" t="inlineStr">
        <is>
          <t>R-033</t>
        </is>
      </c>
      <c r="B41" s="2" t="inlineStr">
        <is>
          <t>Floor Panel count</t>
        </is>
      </c>
      <c r="C41" s="2" t="inlineStr">
        <is>
          <t>Floor panel layout / BOM</t>
        </is>
      </c>
      <c r="D41" s="2" t="inlineStr">
        <is>
          <t>Use approved baseline 12 panels; update by panel schedule</t>
        </is>
      </c>
      <c r="E41" s="3" t="inlineStr">
        <is>
          <t>panels</t>
        </is>
      </c>
      <c r="F41" s="2" t="inlineStr">
        <is>
          <t>9 + 2 + 1 baseline</t>
        </is>
      </c>
      <c r="G41" s="2" t="inlineStr">
        <is>
          <t>BOM overrides all</t>
        </is>
      </c>
    </row>
    <row r="42" ht="18" customHeight="1" s="15">
      <c r="A42" s="22" t="inlineStr">
        <is>
          <t>PAINT RULES</t>
        </is>
      </c>
      <c r="B42" s="24" t="n"/>
      <c r="C42" s="24" t="n"/>
      <c r="D42" s="24" t="n"/>
      <c r="E42" s="24" t="n"/>
      <c r="F42" s="24" t="n"/>
      <c r="G42" s="25" t="n"/>
    </row>
    <row r="43" ht="26.4" customHeight="1" s="15">
      <c r="A43" s="9" t="inlineStr">
        <is>
          <t>R-034</t>
        </is>
      </c>
      <c r="B43" s="10" t="inlineStr">
        <is>
          <t>Internal Wall Paint (VinylGlow)</t>
        </is>
      </c>
      <c r="C43" s="10" t="inlineStr">
        <is>
          <t>Internal Wall Area (m²)</t>
        </is>
      </c>
      <c r="D43" s="10" t="inlineStr">
        <is>
          <t>Wall Area ÷ 12m²/L × 2 coats ÷ 15L/bucket</t>
        </is>
      </c>
      <c r="E43" s="9" t="inlineStr">
        <is>
          <t>bucket</t>
        </is>
      </c>
      <c r="F43" s="10" t="n"/>
      <c r="G43" s="10" t="inlineStr">
        <is>
          <t>KCC coverage rate 12m²/L</t>
        </is>
      </c>
    </row>
    <row r="44" ht="26.4" customHeight="1" s="15">
      <c r="A44" s="3" t="inlineStr">
        <is>
          <t>R-035</t>
        </is>
      </c>
      <c r="B44" s="2" t="inlineStr">
        <is>
          <t>Ceiling Paint (Aurora Matt)</t>
        </is>
      </c>
      <c r="C44" s="2" t="inlineStr">
        <is>
          <t>Ceiling Area (m²)</t>
        </is>
      </c>
      <c r="D44" s="2" t="inlineStr">
        <is>
          <t>Ceiling Area ÷ 12m²/L × 2 coats ÷ 15L</t>
        </is>
      </c>
      <c r="E44" s="3" t="inlineStr">
        <is>
          <t>bucket</t>
        </is>
      </c>
      <c r="F44" s="2" t="n"/>
      <c r="G44" s="2" t="n"/>
    </row>
    <row r="45">
      <c r="A45" s="9" t="inlineStr">
        <is>
          <t>R-036</t>
        </is>
      </c>
      <c r="B45" s="10" t="inlineStr">
        <is>
          <t>External Wall Paint (Weatherforce)</t>
        </is>
      </c>
      <c r="C45" s="10" t="inlineStr">
        <is>
          <t>External Wall Area (m²)</t>
        </is>
      </c>
      <c r="D45" s="10" t="inlineStr">
        <is>
          <t>Wall Area ÷ 10m²/L × 2 coats ÷ 18L</t>
        </is>
      </c>
      <c r="E45" s="9" t="inlineStr">
        <is>
          <t>bucket</t>
        </is>
      </c>
      <c r="F45" s="10" t="n"/>
      <c r="G45" s="10" t="inlineStr">
        <is>
          <t>18L bucket</t>
        </is>
      </c>
    </row>
    <row r="46">
      <c r="A46" s="3" t="inlineStr">
        <is>
          <t>R-037</t>
        </is>
      </c>
      <c r="B46" s="2" t="inlineStr">
        <is>
          <t>Sealer — Internal</t>
        </is>
      </c>
      <c r="C46" s="2" t="inlineStr">
        <is>
          <t>Internal Wall + Ceiling (m²)</t>
        </is>
      </c>
      <c r="D46" s="2" t="inlineStr">
        <is>
          <t>Area ÷ 10m²/L ÷ 18L/bucket</t>
        </is>
      </c>
      <c r="E46" s="3" t="inlineStr">
        <is>
          <t>bucket</t>
        </is>
      </c>
      <c r="F46" s="2" t="n"/>
      <c r="G46" s="2" t="inlineStr">
        <is>
          <t>1 coat sealer</t>
        </is>
      </c>
    </row>
    <row r="47">
      <c r="A47" s="9" t="inlineStr">
        <is>
          <t>R-038</t>
        </is>
      </c>
      <c r="B47" s="10" t="inlineStr">
        <is>
          <t>Sealer — External</t>
        </is>
      </c>
      <c r="C47" s="10" t="inlineStr">
        <is>
          <t>External Wall Area (m²)</t>
        </is>
      </c>
      <c r="D47" s="10" t="inlineStr">
        <is>
          <t>Area ÷ 10m²/L ÷ 18L/bucket</t>
        </is>
      </c>
      <c r="E47" s="9" t="inlineStr">
        <is>
          <t>bucket</t>
        </is>
      </c>
      <c r="F47" s="10" t="n"/>
      <c r="G47" s="10" t="n"/>
    </row>
  </sheetData>
  <mergeCells count="8">
    <mergeCell ref="A14:G14"/>
    <mergeCell ref="A1:G1"/>
    <mergeCell ref="A18:G18"/>
    <mergeCell ref="A35:G35"/>
    <mergeCell ref="A4:G4"/>
    <mergeCell ref="A26:G26"/>
    <mergeCell ref="A2:G2"/>
    <mergeCell ref="A42:G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B5" sqref="B5"/>
    </sheetView>
  </sheetViews>
  <sheetFormatPr baseColWidth="8" defaultRowHeight="14.4"/>
  <cols>
    <col width="20" customWidth="1" style="15" min="1" max="1"/>
    <col width="60" customWidth="1" style="15" min="2" max="2"/>
    <col width="30" customWidth="1" style="15" min="3" max="3"/>
  </cols>
  <sheetData>
    <row r="1" ht="25.95" customHeight="1" s="15">
      <c r="A1" s="21" t="inlineStr">
        <is>
          <t>HOW TO USE THIS STANDARD MODEL</t>
        </is>
      </c>
    </row>
    <row r="2" ht="36" customHeight="1" s="15">
      <c r="A2" s="11" t="inlineStr">
        <is>
          <t>SHEET</t>
        </is>
      </c>
      <c r="B2" s="11" t="inlineStr">
        <is>
          <t>WHAT TO DO</t>
        </is>
      </c>
      <c r="C2" s="11" t="inlineStr">
        <is>
          <t>WHO / WHEN</t>
        </is>
      </c>
    </row>
    <row r="3" ht="42" customHeight="1" s="15">
      <c r="A3" s="12" t="inlineStr">
        <is>
          <t>Standard BOQ</t>
        </is>
      </c>
      <c r="B3" s="12" t="inlineStr">
        <is>
          <t>Fill in the QTY column for every item based on your approved G303 BOQ. Fill RATE from your rate library. This becomes the baseline for ALL future estimates.</t>
        </is>
      </c>
      <c r="C3" s="12" t="inlineStr">
        <is>
          <t>You — do this first</t>
        </is>
      </c>
    </row>
    <row r="4" ht="29.4" customHeight="1" s="15">
      <c r="A4" s="12" t="inlineStr">
        <is>
          <t>Standard BOQ</t>
        </is>
      </c>
      <c r="B4" s="12" t="inlineStr">
        <is>
          <t>Leave QTY = 0 only if the item genuinely does not apply to the standard house. The system will treat 0 as 'not in standard design'.</t>
        </is>
      </c>
      <c r="C4" s="12" t="inlineStr">
        <is>
          <t>You — be precise</t>
        </is>
      </c>
    </row>
    <row r="5" ht="40.8" customHeight="1" s="15">
      <c r="A5" s="12" t="inlineStr">
        <is>
          <t>Standard Geometry</t>
        </is>
      </c>
      <c r="B5" s="12" t="inlineStr">
        <is>
          <t>Fill in every measurement for the standard G303 house. These are the dimensions the AI will compare new projects against to detect changes.</t>
        </is>
      </c>
      <c r="C5" s="12" t="inlineStr">
        <is>
          <t>You — measure from drawings</t>
        </is>
      </c>
    </row>
    <row r="6" ht="44.4" customHeight="1" s="15">
      <c r="A6" s="12" t="inlineStr">
        <is>
          <t>Standard Geometry</t>
        </is>
      </c>
      <c r="B6" s="12" t="inlineStr">
        <is>
          <t>Update this sheet whenever the standard design changes (e.g. standard floor height increased). All future estimates will use the new values automatically.</t>
        </is>
      </c>
      <c r="C6" s="12" t="inlineStr">
        <is>
          <t>You — keep current</t>
        </is>
      </c>
    </row>
    <row r="7" ht="42" customHeight="1" s="15">
      <c r="A7" s="12" t="inlineStr">
        <is>
          <t>Rules Library</t>
        </is>
      </c>
      <c r="B7" s="12" t="inlineStr">
        <is>
          <t>Review every rule. Update the formula column if your actual construction method differs (e.g. if you use 800mm batten spacing not 900mm, change R-001).</t>
        </is>
      </c>
      <c r="C7" s="12" t="inlineStr">
        <is>
          <t>You — verify each rule</t>
        </is>
      </c>
    </row>
    <row r="8" ht="40.2" customHeight="1" s="15">
      <c r="A8" s="12" t="inlineStr">
        <is>
          <t>Rules Library</t>
        </is>
      </c>
      <c r="B8" s="12" t="inlineStr">
        <is>
          <t>Add new rules at the bottom of each section for any item not covered. Format: Rule ID, what item is scaled, what drives it, the formula.</t>
        </is>
      </c>
      <c r="C8" s="12" t="inlineStr">
        <is>
          <t>You — add as needed</t>
        </is>
      </c>
    </row>
    <row r="9" ht="36" customHeight="1" s="15">
      <c r="A9" s="12" t="n"/>
      <c r="B9" s="12" t="inlineStr">
        <is>
          <t>──────────────────────────────────────────────────────</t>
        </is>
      </c>
      <c r="C9" s="12" t="n"/>
    </row>
    <row r="10" ht="36" customHeight="1" s="15">
      <c r="A10" s="13" t="inlineStr">
        <is>
          <t>IMPORTANT</t>
        </is>
      </c>
      <c r="B10" s="13" t="inlineStr">
        <is>
          <t>BLUE cells = values you must enter. Do not leave them blank.</t>
        </is>
      </c>
      <c r="C10" s="13" t="n"/>
    </row>
    <row r="11" ht="36" customHeight="1" s="15">
      <c r="A11" s="13" t="inlineStr">
        <is>
          <t>IMPORTANT</t>
        </is>
      </c>
      <c r="B11" s="13" t="inlineStr">
        <is>
          <t>This file is the foundation of the entire system. Time invested here saves hours on every future estimate.</t>
        </is>
      </c>
      <c r="C11" s="13" t="n"/>
    </row>
    <row r="12" ht="36" customHeight="1" s="15">
      <c r="A12" s="13" t="inlineStr">
        <is>
          <t>IMPORTANT</t>
        </is>
      </c>
      <c r="B12" s="13" t="inlineStr">
        <is>
          <t>Save this file as: standard_model_G303.xlsx in your C:\Users\User\Desktop\DDC\ folder.</t>
        </is>
      </c>
      <c r="C12" s="13" t="n"/>
    </row>
    <row r="13" ht="36" customHeight="1" s="15">
      <c r="A13" s="13" t="inlineStr">
        <is>
          <t>IMPORTANT</t>
        </is>
      </c>
      <c r="B13" s="13" t="inlineStr">
        <is>
          <t>When you update the standard BOQ rates — update the RATE LIBRARY separately too. Keep them in sync.</t>
        </is>
      </c>
      <c r="C13" s="13" t="n"/>
    </row>
    <row r="14" ht="36" customHeight="1" s="15">
      <c r="A14" s="12" t="n"/>
      <c r="B14" s="12" t="inlineStr">
        <is>
          <t>──────────────────────────────────────────────────────</t>
        </is>
      </c>
      <c r="C14" s="12" t="n"/>
    </row>
    <row r="15" ht="36" customHeight="1" s="15">
      <c r="A15" s="12" t="inlineStr">
        <is>
          <t>NEXT STEP</t>
        </is>
      </c>
      <c r="B15" s="12" t="inlineStr">
        <is>
          <t>Once all blue cells are filled: share this file and proceed to Step 2 — Rate Library preparation.</t>
        </is>
      </c>
      <c r="C15" s="12" t="n"/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5" min="1" max="1"/>
    <col width="38" customWidth="1" style="15" min="2" max="2"/>
    <col width="14" customWidth="1" style="15" min="3" max="3"/>
    <col width="10" customWidth="1" style="15" min="4" max="4"/>
    <col width="24" customWidth="1" style="15" min="5" max="5"/>
    <col width="42" customWidth="1" style="15" min="6" max="6"/>
  </cols>
  <sheetData>
    <row r="1">
      <c r="A1" s="1" t="inlineStr">
        <is>
          <t>Package</t>
        </is>
      </c>
      <c r="B1" s="1" t="inlineStr">
        <is>
          <t>Component</t>
        </is>
      </c>
      <c r="C1" s="1" t="inlineStr">
        <is>
          <t>Standard Qty</t>
        </is>
      </c>
      <c r="D1" s="1" t="inlineStr">
        <is>
          <t>Unit</t>
        </is>
      </c>
      <c r="E1" s="1" t="inlineStr">
        <is>
          <t>Source</t>
        </is>
      </c>
      <c r="F1" s="1" t="inlineStr">
        <is>
          <t>Notes</t>
        </is>
      </c>
    </row>
    <row r="2">
      <c r="A2" s="5" t="inlineStr">
        <is>
          <t>Primary frame</t>
        </is>
      </c>
      <c r="B2" s="5" t="inlineStr">
        <is>
          <t>Framecad wall meter rate</t>
        </is>
      </c>
      <c r="C2" s="8" t="n">
        <v>753</v>
      </c>
      <c r="D2" s="6" t="inlineStr">
        <is>
          <t>lm</t>
        </is>
      </c>
      <c r="E2" s="5" t="inlineStr">
        <is>
          <t>Approved BOQ / S-004</t>
        </is>
      </c>
      <c r="F2" s="6" t="inlineStr">
        <is>
          <t>Use approved baseline unless structural delta detected</t>
        </is>
      </c>
    </row>
    <row r="3">
      <c r="A3" s="5" t="inlineStr">
        <is>
          <t>Roof frame</t>
        </is>
      </c>
      <c r="B3" s="5" t="inlineStr">
        <is>
          <t>Framecad truss meter rate</t>
        </is>
      </c>
      <c r="C3" s="8" t="n">
        <v>490</v>
      </c>
      <c r="D3" s="6" t="inlineStr">
        <is>
          <t>lm</t>
        </is>
      </c>
      <c r="E3" s="5" t="inlineStr">
        <is>
          <t>Approved BOQ / S-005</t>
        </is>
      </c>
      <c r="F3" s="6" t="inlineStr">
        <is>
          <t>Prefer BOM / approved BOQ over AI inference</t>
        </is>
      </c>
    </row>
    <row r="4">
      <c r="A4" s="5" t="inlineStr">
        <is>
          <t>Floor panels</t>
        </is>
      </c>
      <c r="B4" s="5" t="inlineStr">
        <is>
          <t>1.8kPa floor panel 2398x2998</t>
        </is>
      </c>
      <c r="C4" s="8" t="n">
        <v>9</v>
      </c>
      <c r="D4" s="6" t="inlineStr">
        <is>
          <t>set</t>
        </is>
      </c>
      <c r="E4" s="5" t="inlineStr">
        <is>
          <t>Approved BOQ / S-002</t>
        </is>
      </c>
      <c r="F4" s="6" t="inlineStr">
        <is>
          <t>Main floor panels</t>
        </is>
      </c>
    </row>
    <row r="5">
      <c r="A5" s="5" t="inlineStr">
        <is>
          <t>Floor panels</t>
        </is>
      </c>
      <c r="B5" s="5" t="inlineStr">
        <is>
          <t>4kPa floor panel 2398x2998</t>
        </is>
      </c>
      <c r="C5" s="8" t="n">
        <v>2</v>
      </c>
      <c r="D5" s="6" t="inlineStr">
        <is>
          <t>set</t>
        </is>
      </c>
      <c r="E5" s="5" t="inlineStr">
        <is>
          <t>Approved BOQ / S-002</t>
        </is>
      </c>
      <c r="F5" s="6" t="inlineStr">
        <is>
          <t>Verandah floor panels</t>
        </is>
      </c>
    </row>
    <row r="6">
      <c r="A6" s="5" t="inlineStr">
        <is>
          <t>Floor panels</t>
        </is>
      </c>
      <c r="B6" s="5" t="inlineStr">
        <is>
          <t>Landing panel 1100x1100 1.8kPa</t>
        </is>
      </c>
      <c r="C6" s="8" t="n">
        <v>1</v>
      </c>
      <c r="D6" s="6" t="inlineStr">
        <is>
          <t>each</t>
        </is>
      </c>
      <c r="E6" s="5" t="inlineStr">
        <is>
          <t>Approved BOQ / S-015</t>
        </is>
      </c>
      <c r="F6" s="6" t="inlineStr">
        <is>
          <t>Mid-landing panel</t>
        </is>
      </c>
    </row>
    <row r="7">
      <c r="A7" s="5" t="inlineStr">
        <is>
          <t>Floor members</t>
        </is>
      </c>
      <c r="B7" s="5" t="inlineStr">
        <is>
          <t>Floor bearer 2998 for 1.8kPa panels</t>
        </is>
      </c>
      <c r="C7" s="8" t="n">
        <v>9</v>
      </c>
      <c r="D7" s="6" t="inlineStr">
        <is>
          <t>pair</t>
        </is>
      </c>
      <c r="E7" s="5" t="inlineStr">
        <is>
          <t>Approved BOQ</t>
        </is>
      </c>
      <c r="F7" s="6" t="inlineStr">
        <is>
          <t>Derived 1 per standard panel</t>
        </is>
      </c>
    </row>
    <row r="8">
      <c r="A8" s="5" t="inlineStr">
        <is>
          <t>Floor members</t>
        </is>
      </c>
      <c r="B8" s="5" t="inlineStr">
        <is>
          <t>Floor joist C150 2268 for 1.8kPa panels</t>
        </is>
      </c>
      <c r="C8" s="8" t="n">
        <v>81</v>
      </c>
      <c r="D8" s="6" t="inlineStr">
        <is>
          <t>len</t>
        </is>
      </c>
      <c r="E8" s="5" t="inlineStr">
        <is>
          <t>Approved BOQ</t>
        </is>
      </c>
      <c r="F8" s="6" t="inlineStr">
        <is>
          <t>9 joists per 1.8kPa panel set</t>
        </is>
      </c>
    </row>
    <row r="9">
      <c r="A9" s="5" t="inlineStr">
        <is>
          <t>Floor members</t>
        </is>
      </c>
      <c r="B9" s="5" t="inlineStr">
        <is>
          <t>Floor bearer 2998 for 4kPa panels</t>
        </is>
      </c>
      <c r="C9" s="8" t="n">
        <v>2</v>
      </c>
      <c r="D9" s="6" t="inlineStr">
        <is>
          <t>pair</t>
        </is>
      </c>
      <c r="E9" s="5" t="inlineStr">
        <is>
          <t>Approved BOQ</t>
        </is>
      </c>
      <c r="F9" s="6" t="inlineStr">
        <is>
          <t>Derived 1 per verandah panel</t>
        </is>
      </c>
    </row>
    <row r="10">
      <c r="A10" s="5" t="inlineStr">
        <is>
          <t>Floor members</t>
        </is>
      </c>
      <c r="B10" s="5" t="inlineStr">
        <is>
          <t>Floor joist C150 2268 for 4kPa panels</t>
        </is>
      </c>
      <c r="C10" s="8" t="n">
        <v>22</v>
      </c>
      <c r="D10" s="6" t="inlineStr">
        <is>
          <t>len</t>
        </is>
      </c>
      <c r="E10" s="5" t="inlineStr">
        <is>
          <t>Approved BOQ</t>
        </is>
      </c>
      <c r="F10" s="6" t="inlineStr">
        <is>
          <t>11 joists per 4kPa panel set</t>
        </is>
      </c>
    </row>
    <row r="11">
      <c r="A11" s="5" t="inlineStr">
        <is>
          <t>Posts</t>
        </is>
      </c>
      <c r="B11" s="5" t="inlineStr">
        <is>
          <t>Steel post 75x4 SHS 3.6m</t>
        </is>
      </c>
      <c r="C11" s="8" t="n">
        <v>15</v>
      </c>
      <c r="D11" s="6" t="inlineStr">
        <is>
          <t>len</t>
        </is>
      </c>
      <c r="E11" s="5" t="inlineStr">
        <is>
          <t>Approved BOQ / S-001</t>
        </is>
      </c>
      <c r="F11" s="6" t="inlineStr">
        <is>
          <t>Primary post lengths</t>
        </is>
      </c>
    </row>
    <row r="12">
      <c r="A12" s="5" t="inlineStr">
        <is>
          <t>Posts</t>
        </is>
      </c>
      <c r="B12" s="5" t="inlineStr">
        <is>
          <t>Steel post 75x4 SHS 5.8m</t>
        </is>
      </c>
      <c r="C12" s="8" t="n">
        <v>3</v>
      </c>
      <c r="D12" s="6" t="inlineStr">
        <is>
          <t>len</t>
        </is>
      </c>
      <c r="E12" s="5" t="inlineStr">
        <is>
          <t>Approved BOQ / S-015</t>
        </is>
      </c>
      <c r="F12" s="6" t="inlineStr">
        <is>
          <t>Stair / special posts</t>
        </is>
      </c>
    </row>
    <row r="13">
      <c r="A13" s="5" t="inlineStr">
        <is>
          <t>Pier heads</t>
        </is>
      </c>
      <c r="B13" s="5" t="inlineStr">
        <is>
          <t>PHA corner bracket</t>
        </is>
      </c>
      <c r="C13" s="8" t="n">
        <v>4</v>
      </c>
      <c r="D13" s="6" t="inlineStr">
        <is>
          <t>each</t>
        </is>
      </c>
      <c r="E13" s="5" t="inlineStr">
        <is>
          <t>Approved BOQ / S-001</t>
        </is>
      </c>
      <c r="F13" s="6" t="inlineStr">
        <is>
          <t>Corner pier heads</t>
        </is>
      </c>
    </row>
    <row r="14">
      <c r="A14" s="5" t="inlineStr">
        <is>
          <t>Pier heads</t>
        </is>
      </c>
      <c r="B14" s="5" t="inlineStr">
        <is>
          <t>PHB central bracket</t>
        </is>
      </c>
      <c r="C14" s="8" t="n">
        <v>4</v>
      </c>
      <c r="D14" s="6" t="inlineStr">
        <is>
          <t>each</t>
        </is>
      </c>
      <c r="E14" s="5" t="inlineStr">
        <is>
          <t>Approved BOQ / S-001</t>
        </is>
      </c>
      <c r="F14" s="6" t="inlineStr">
        <is>
          <t>Central pier heads</t>
        </is>
      </c>
    </row>
    <row r="15">
      <c r="A15" s="5" t="inlineStr">
        <is>
          <t>Pier heads</t>
        </is>
      </c>
      <c r="B15" s="5" t="inlineStr">
        <is>
          <t>PHD perimeter bracket</t>
        </is>
      </c>
      <c r="C15" s="8" t="n">
        <v>7</v>
      </c>
      <c r="D15" s="6" t="inlineStr">
        <is>
          <t>each</t>
        </is>
      </c>
      <c r="E15" s="5" t="inlineStr">
        <is>
          <t>Approved BOQ / S-001</t>
        </is>
      </c>
      <c r="F15" s="6" t="inlineStr">
        <is>
          <t>Perimeter pier heads</t>
        </is>
      </c>
    </row>
    <row r="16">
      <c r="A16" s="5" t="inlineStr">
        <is>
          <t>Bracing</t>
        </is>
      </c>
      <c r="B16" s="5" t="inlineStr">
        <is>
          <t>DB angle bracing 40x40x3 3500mm</t>
        </is>
      </c>
      <c r="C16" s="8" t="n">
        <v>12</v>
      </c>
      <c r="D16" s="6" t="inlineStr">
        <is>
          <t>len</t>
        </is>
      </c>
      <c r="E16" s="5" t="inlineStr">
        <is>
          <t>Approved BOQ / S-008</t>
        </is>
      </c>
      <c r="F16" s="6" t="inlineStr">
        <is>
          <t>Column bracing</t>
        </is>
      </c>
    </row>
    <row r="17">
      <c r="A17" s="5" t="inlineStr">
        <is>
          <t>Roof bracing</t>
        </is>
      </c>
      <c r="B17" s="5" t="inlineStr">
        <is>
          <t>32x0.95 strap bracing</t>
        </is>
      </c>
      <c r="C17" s="8" t="n">
        <v>90</v>
      </c>
      <c r="D17" s="6" t="inlineStr">
        <is>
          <t>lm</t>
        </is>
      </c>
      <c r="E17" s="5" t="inlineStr">
        <is>
          <t>Approved BOQ / S-005</t>
        </is>
      </c>
      <c r="F17" s="6" t="inlineStr">
        <is>
          <t>Gal roof strap bracing</t>
        </is>
      </c>
    </row>
    <row r="18">
      <c r="A18" s="5" t="inlineStr">
        <is>
          <t>Roof battens</t>
        </is>
      </c>
      <c r="B18" s="5" t="inlineStr">
        <is>
          <t>41mm top hat 5800 main roof</t>
        </is>
      </c>
      <c r="C18" s="8" t="n">
        <v>48</v>
      </c>
      <c r="D18" s="6" t="inlineStr">
        <is>
          <t>len</t>
        </is>
      </c>
      <c r="E18" s="5" t="inlineStr">
        <is>
          <t>Approved BOQ / A-011</t>
        </is>
      </c>
      <c r="F18" s="6" t="inlineStr">
        <is>
          <t>Main roof battens</t>
        </is>
      </c>
    </row>
    <row r="19">
      <c r="A19" s="5" t="inlineStr">
        <is>
          <t>Roof battens</t>
        </is>
      </c>
      <c r="B19" s="5" t="inlineStr">
        <is>
          <t>41mm top hat 5800 verandah/soffit</t>
        </is>
      </c>
      <c r="C19" s="8" t="n">
        <v>36</v>
      </c>
      <c r="D19" s="6" t="inlineStr">
        <is>
          <t>len</t>
        </is>
      </c>
      <c r="E19" s="5" t="inlineStr">
        <is>
          <t>Approved BOQ / A-011 to A-012</t>
        </is>
      </c>
      <c r="F19" s="6" t="inlineStr">
        <is>
          <t>Verandah ceiling &amp; soffit battens</t>
        </is>
      </c>
    </row>
    <row r="20">
      <c r="A20" s="5" t="inlineStr">
        <is>
          <t>Ceiling battens</t>
        </is>
      </c>
      <c r="B20" s="5" t="inlineStr">
        <is>
          <t>20mm top hat 5800</t>
        </is>
      </c>
      <c r="C20" s="8" t="n">
        <v>42</v>
      </c>
      <c r="D20" s="6" t="inlineStr">
        <is>
          <t>len</t>
        </is>
      </c>
      <c r="E20" s="5" t="inlineStr">
        <is>
          <t>Approved BOQ</t>
        </is>
      </c>
      <c r="F20" s="6" t="inlineStr">
        <is>
          <t>38 first floor + 4 ground laundry</t>
        </is>
      </c>
    </row>
    <row r="21">
      <c r="A21" s="5" t="inlineStr">
        <is>
          <t>Stairs</t>
        </is>
      </c>
      <c r="B21" s="5" t="inlineStr">
        <is>
          <t>Stringer set STR-1 5 riser</t>
        </is>
      </c>
      <c r="C21" s="8" t="n">
        <v>1</v>
      </c>
      <c r="D21" s="6" t="inlineStr">
        <is>
          <t>pair</t>
        </is>
      </c>
      <c r="E21" s="5" t="inlineStr">
        <is>
          <t>Approved BOQ / S-015</t>
        </is>
      </c>
      <c r="F21" s="6" t="inlineStr">
        <is>
          <t>Lower stair flight</t>
        </is>
      </c>
    </row>
    <row r="22">
      <c r="A22" s="5" t="inlineStr">
        <is>
          <t>Stairs</t>
        </is>
      </c>
      <c r="B22" s="5" t="inlineStr">
        <is>
          <t>Stringer set STR-2 9 riser</t>
        </is>
      </c>
      <c r="C22" s="8" t="n">
        <v>1</v>
      </c>
      <c r="D22" s="6" t="inlineStr">
        <is>
          <t>pair</t>
        </is>
      </c>
      <c r="E22" s="5" t="inlineStr">
        <is>
          <t>Approved BOQ / S-015</t>
        </is>
      </c>
      <c r="F22" s="6" t="inlineStr">
        <is>
          <t>Upper stair flight</t>
        </is>
      </c>
    </row>
    <row r="23">
      <c r="A23" s="5" t="inlineStr">
        <is>
          <t>Stairs</t>
        </is>
      </c>
      <c r="B23" s="5" t="inlineStr">
        <is>
          <t>Hardwood step treads 1200mm</t>
        </is>
      </c>
      <c r="C23" s="8" t="n">
        <v>28</v>
      </c>
      <c r="D23" s="6" t="inlineStr">
        <is>
          <t>each</t>
        </is>
      </c>
      <c r="E23" s="5" t="inlineStr">
        <is>
          <t>Approved BOQ / S-015</t>
        </is>
      </c>
      <c r="F23" s="6" t="inlineStr">
        <is>
          <t>2 treads per stair step across both stringers</t>
        </is>
      </c>
    </row>
    <row r="24">
      <c r="A24" s="5" t="inlineStr">
        <is>
          <t>Balustrade</t>
        </is>
      </c>
      <c r="B24" s="5" t="inlineStr">
        <is>
          <t>No-slope balustrade panel 695x4000</t>
        </is>
      </c>
      <c r="C24" s="8" t="n">
        <v>4</v>
      </c>
      <c r="D24" s="6" t="inlineStr">
        <is>
          <t>each</t>
        </is>
      </c>
      <c r="E24" s="5" t="inlineStr">
        <is>
          <t>Approved BOQ / S-016 to S-018</t>
        </is>
      </c>
      <c r="F24" s="6" t="inlineStr">
        <is>
          <t>Landing/verandah runs</t>
        </is>
      </c>
    </row>
    <row r="25">
      <c r="A25" s="5" t="inlineStr">
        <is>
          <t>Balustrade</t>
        </is>
      </c>
      <c r="B25" s="5" t="inlineStr">
        <is>
          <t>37 degree slope balustrade panel 503x4000</t>
        </is>
      </c>
      <c r="C25" s="8" t="n">
        <v>2</v>
      </c>
      <c r="D25" s="6" t="inlineStr">
        <is>
          <t>each</t>
        </is>
      </c>
      <c r="E25" s="5" t="inlineStr">
        <is>
          <t>Approved BOQ / S-016 to S-018</t>
        </is>
      </c>
      <c r="F25" s="6" t="inlineStr">
        <is>
          <t>Stair runs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5" min="1" max="1"/>
    <col width="28" customWidth="1" style="15" min="2" max="2"/>
    <col width="40" customWidth="1" style="15" min="3" max="3"/>
    <col width="24" customWidth="1" style="15" min="4" max="4"/>
    <col width="12" customWidth="1" style="15" min="5" max="5"/>
    <col width="34" customWidth="1" style="15" min="6" max="6"/>
  </cols>
  <sheetData>
    <row r="1">
      <c r="A1" s="1" t="inlineStr">
        <is>
          <t>Trigger / Design Change</t>
        </is>
      </c>
      <c r="B1" s="1" t="inlineStr">
        <is>
          <t>Affected BOQ Group</t>
        </is>
      </c>
      <c r="C1" s="1" t="inlineStr">
        <is>
          <t>Rule Logic</t>
        </is>
      </c>
      <c r="D1" s="1" t="inlineStr">
        <is>
          <t>Primary Source</t>
        </is>
      </c>
      <c r="E1" s="1" t="inlineStr">
        <is>
          <t>Confidence</t>
        </is>
      </c>
      <c r="F1" s="1" t="inlineStr">
        <is>
          <t>Review Note</t>
        </is>
      </c>
    </row>
    <row r="2">
      <c r="A2" s="5" t="inlineStr">
        <is>
          <t>Roof area or roof geometry changes</t>
        </is>
      </c>
      <c r="B2" s="5" t="inlineStr">
        <is>
          <t>Roof cladding, roof battens, sarking, ridge/barge, roof screws</t>
        </is>
      </c>
      <c r="C2" s="8" t="inlineStr">
        <is>
          <t>Recalculate roof zones; do not inherit standard roof package blindly</t>
        </is>
      </c>
      <c r="D2" s="6" t="inlineStr">
        <is>
          <t>A-003 / S-005</t>
        </is>
      </c>
      <c r="E2" s="5" t="inlineStr">
        <is>
          <t>High</t>
        </is>
      </c>
      <c r="F2" s="6" t="inlineStr">
        <is>
          <t>Review battens + ridge + barge together</t>
        </is>
      </c>
    </row>
    <row r="3">
      <c r="A3" s="5" t="inlineStr">
        <is>
          <t>Ceiling area changes</t>
        </is>
      </c>
      <c r="B3" s="5" t="inlineStr">
        <is>
          <t>Ceiling battens, ceiling FC sheets, cornice, ceiling paint</t>
        </is>
      </c>
      <c r="C3" s="8" t="inlineStr">
        <is>
          <t>Scale from measured ceiling area and room changes</t>
        </is>
      </c>
      <c r="D3" s="6" t="inlineStr">
        <is>
          <t>A-002 / A-011</t>
        </is>
      </c>
      <c r="E3" s="5" t="inlineStr">
        <is>
          <t>Medium</t>
        </is>
      </c>
      <c r="F3" s="6" t="inlineStr">
        <is>
          <t>Confirm any bulkhead or verandah ceiling zones</t>
        </is>
      </c>
    </row>
    <row r="4">
      <c r="A4" s="5" t="inlineStr">
        <is>
          <t>External wall area changes</t>
        </is>
      </c>
      <c r="B4" s="5" t="inlineStr">
        <is>
          <t>Weatherboard cladding, building wrap, corner flashings, cladding screws</t>
        </is>
      </c>
      <c r="C4" s="8" t="inlineStr">
        <is>
          <t>Scale from external wall area and wall type</t>
        </is>
      </c>
      <c r="D4" s="6" t="inlineStr">
        <is>
          <t>A-004 / A-016</t>
        </is>
      </c>
      <c r="E4" s="5" t="inlineStr">
        <is>
          <t>Medium</t>
        </is>
      </c>
      <c r="F4" s="6" t="inlineStr">
        <is>
          <t>Check whether verandah/laundry cladding is included</t>
        </is>
      </c>
    </row>
    <row r="5">
      <c r="A5" s="5" t="inlineStr">
        <is>
          <t>Internal wall layout changes</t>
        </is>
      </c>
      <c r="B5" s="5" t="inlineStr">
        <is>
          <t>Framecad wall lm, FC sheet wall lining, paint, skirting/architrave</t>
        </is>
      </c>
      <c r="C5" s="8" t="inlineStr">
        <is>
          <t>Use structural wall plan first, then update lining/paint dependencies</t>
        </is>
      </c>
      <c r="D5" s="6" t="inlineStr">
        <is>
          <t>S-004 / A-002</t>
        </is>
      </c>
      <c r="E5" s="5" t="inlineStr">
        <is>
          <t>High</t>
        </is>
      </c>
      <c r="F5" s="6" t="inlineStr">
        <is>
          <t>Critical for non-standard client layout changes</t>
        </is>
      </c>
    </row>
    <row r="6">
      <c r="A6" s="5" t="inlineStr">
        <is>
          <t>Wet-area layout changes</t>
        </is>
      </c>
      <c r="B6" s="5" t="inlineStr">
        <is>
          <t>Floor tiles, wall tiles, waterproofing, FC wet-area lining, tile adhesive/grout</t>
        </is>
      </c>
      <c r="C6" s="8" t="inlineStr">
        <is>
          <t>Recalculate bathroom/laundry zones only</t>
        </is>
      </c>
      <c r="D6" s="6" t="inlineStr">
        <is>
          <t>A-007 / A-017</t>
        </is>
      </c>
      <c r="E6" s="5" t="inlineStr">
        <is>
          <t>High</t>
        </is>
      </c>
      <c r="F6" s="6" t="inlineStr">
        <is>
          <t>Do not use gross floor area for wet areas</t>
        </is>
      </c>
    </row>
    <row r="7">
      <c r="A7" s="5" t="inlineStr">
        <is>
          <t>Door count/type changes</t>
        </is>
      </c>
      <c r="B7" s="5" t="inlineStr">
        <is>
          <t>Door slabs, frames, hinges, locks, stops, flashings, architraves</t>
        </is>
      </c>
      <c r="C7" s="8" t="inlineStr">
        <is>
          <t>Count from schedule, then update hardware set by door type</t>
        </is>
      </c>
      <c r="D7" s="6" t="inlineStr">
        <is>
          <t>A-013 / approved BOQ</t>
        </is>
      </c>
      <c r="E7" s="5" t="inlineStr">
        <is>
          <t>High</t>
        </is>
      </c>
      <c r="F7" s="6" t="inlineStr">
        <is>
          <t>Include laundry door in this model</t>
        </is>
      </c>
    </row>
    <row r="8">
      <c r="A8" s="5" t="inlineStr">
        <is>
          <t>Window count/type changes</t>
        </is>
      </c>
      <c r="B8" s="5" t="inlineStr">
        <is>
          <t>Complete windows, flashes, flyscreen, louvre blades, security bars</t>
        </is>
      </c>
      <c r="C8" s="8" t="inlineStr">
        <is>
          <t>Count from schedule, then scale components by window family</t>
        </is>
      </c>
      <c r="D8" s="6" t="inlineStr">
        <is>
          <t>A-014 / approved BOQ</t>
        </is>
      </c>
      <c r="E8" s="5" t="inlineStr">
        <is>
          <t>High</t>
        </is>
      </c>
      <c r="F8" s="6" t="inlineStr">
        <is>
          <t>Window family mapping is critical</t>
        </is>
      </c>
    </row>
    <row r="9">
      <c r="A9" s="5" t="inlineStr">
        <is>
          <t>Floor height changes</t>
        </is>
      </c>
      <c r="B9" s="5" t="inlineStr">
        <is>
          <t>Post lengths, stair stringers, risers, balustrade, cladding drop</t>
        </is>
      </c>
      <c r="C9" s="8" t="inlineStr">
        <is>
          <t>Use structural/section delta vs standard 2590 FFL</t>
        </is>
      </c>
      <c r="D9" s="6" t="inlineStr">
        <is>
          <t>S-001 / S-015 / A-005</t>
        </is>
      </c>
      <c r="E9" s="5" t="inlineStr">
        <is>
          <t>High</t>
        </is>
      </c>
      <c r="F9" s="6" t="inlineStr">
        <is>
          <t>This is one of the highest-risk variations</t>
        </is>
      </c>
    </row>
    <row r="10">
      <c r="A10" s="5" t="inlineStr">
        <is>
          <t>Floor panel layout changes</t>
        </is>
      </c>
      <c r="B10" s="5" t="inlineStr">
        <is>
          <t>Panels, bearers, joists, brackets, anchors, screws</t>
        </is>
      </c>
      <c r="C10" s="8" t="inlineStr">
        <is>
          <t>Read BOM or structural panel layout before scaling small items</t>
        </is>
      </c>
      <c r="D10" s="6" t="inlineStr">
        <is>
          <t>S-002 / S-010</t>
        </is>
      </c>
      <c r="E10" s="5" t="inlineStr">
        <is>
          <t>High</t>
        </is>
      </c>
      <c r="F10" s="6" t="inlineStr">
        <is>
          <t>Prefer exact panel schedule over rules</t>
        </is>
      </c>
    </row>
    <row r="11">
      <c r="A11" s="5" t="inlineStr">
        <is>
          <t>Ground laundry added/removed</t>
        </is>
      </c>
      <c r="B11" s="5" t="inlineStr">
        <is>
          <t>Ground wall frame, cladding, ceiling battens, door/window, plumbing fixtures</t>
        </is>
      </c>
      <c r="C11" s="8" t="inlineStr">
        <is>
          <t>Treat ground laundry as separate package</t>
        </is>
      </c>
      <c r="D11" s="6" t="inlineStr">
        <is>
          <t>A-001 / A-007 / approved BOQ</t>
        </is>
      </c>
      <c r="E11" s="5" t="inlineStr">
        <is>
          <t>High</t>
        </is>
      </c>
      <c r="F11" s="6" t="inlineStr">
        <is>
          <t>Do not miss laundry-specific door/window items</t>
        </is>
      </c>
    </row>
    <row r="12">
      <c r="A12" s="5" t="inlineStr">
        <is>
          <t>Verandah size changes</t>
        </is>
      </c>
      <c r="B12" s="5" t="inlineStr">
        <is>
          <t>Decking, perimeter trims, verandah floor panels, balustrade, verandah roof tie-down</t>
        </is>
      </c>
      <c r="C12" s="8" t="inlineStr">
        <is>
          <t>Recalculate external works/verandah package only</t>
        </is>
      </c>
      <c r="D12" s="6" t="inlineStr">
        <is>
          <t>A-002 / S-002 / S-014</t>
        </is>
      </c>
      <c r="E12" s="5" t="inlineStr">
        <is>
          <t>High</t>
        </is>
      </c>
      <c r="F12" s="6" t="inlineStr">
        <is>
          <t>Common client variation trigger</t>
        </is>
      </c>
    </row>
    <row r="13">
      <c r="A13" s="5" t="inlineStr">
        <is>
          <t>Paint spec changes</t>
        </is>
      </c>
      <c r="B13" s="5" t="inlineStr">
        <is>
          <t>Sealer and paint buckets</t>
        </is>
      </c>
      <c r="C13" s="8" t="inlineStr">
        <is>
          <t>Scale from wall/ceiling areas after geometry locked</t>
        </is>
      </c>
      <c r="D13" s="6" t="inlineStr">
        <is>
          <t>Paint schedule / standard rules</t>
        </is>
      </c>
      <c r="E13" s="5" t="inlineStr">
        <is>
          <t>Medium</t>
        </is>
      </c>
      <c r="F13" s="6" t="inlineStr">
        <is>
          <t>Keep paint separate from base materials</t>
        </is>
      </c>
    </row>
    <row r="14">
      <c r="A14" s="5" t="inlineStr">
        <is>
          <t>Small fixing items change indirectly</t>
        </is>
      </c>
      <c r="B14" s="5" t="inlineStr">
        <is>
          <t>Screws, clips, brackets, adhesive</t>
        </is>
      </c>
      <c r="C14" s="8" t="inlineStr">
        <is>
          <t>Scale from parent bulk item unless exact BOM exists</t>
        </is>
      </c>
      <c r="D14" s="6" t="inlineStr">
        <is>
          <t>Approved BOQ + rules</t>
        </is>
      </c>
      <c r="E14" s="5" t="inlineStr">
        <is>
          <t>Low</t>
        </is>
      </c>
      <c r="F14" s="6" t="inlineStr">
        <is>
          <t>Flag for manual review if delta &gt;15%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2026-03-18T22:18:46Z</dcterms:created>
  <dcterms:modified xmlns:dcterms="http://purl.org/dc/terms/" xmlns:xsi="http://www.w3.org/2001/XMLSchema-instance" xsi:type="dcterms:W3CDTF">2026-03-18T22:48:47Z</dcterms:modified>
  <cp:lastModifiedBy>Shak Khabibullaev</cp:lastModifiedBy>
</cp:coreProperties>
</file>