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hodesprojectsservices-my.sharepoint.com/personal/s_khabibullaev_rhodesprojects_com/Documents/Estimation Automation/G303 - Reference Docs - Feb 2026/"/>
    </mc:Choice>
  </mc:AlternateContent>
  <xr:revisionPtr revIDLastSave="28" documentId="13_ncr:1_{B6405834-213F-4B9B-86EC-01BB04E0B8B6}" xr6:coauthVersionLast="47" xr6:coauthVersionMax="47" xr10:uidLastSave="{1106109D-F4F0-4F95-94DE-E28A9A567F98}"/>
  <bookViews>
    <workbookView xWindow="28680" yWindow="-120" windowWidth="29040" windowHeight="15720" firstSheet="1" activeTab="1" xr2:uid="{00000000-000D-0000-FFFF-FFFF00000000}"/>
  </bookViews>
  <sheets>
    <sheet name="Sheet1" sheetId="37" state="hidden" r:id="rId1"/>
    <sheet name="G303-BOQ" sheetId="15" r:id="rId2"/>
  </sheets>
  <definedNames>
    <definedName name="_xlnm.Print_Area" localSheetId="1">'G303-BOQ'!$A$1:$E$399</definedName>
    <definedName name="_xlnm.Print_Titles" localSheetId="1">'G303-BOQ'!$1:$8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7" i="15" l="1"/>
  <c r="C356" i="15"/>
  <c r="C355" i="15"/>
  <c r="C354" i="15"/>
  <c r="C353" i="15"/>
  <c r="C124" i="15" l="1"/>
  <c r="C123" i="15"/>
  <c r="C122" i="15"/>
  <c r="C121" i="15"/>
  <c r="C120" i="15"/>
  <c r="C119" i="15"/>
  <c r="C116" i="15"/>
  <c r="C115" i="15"/>
  <c r="C114" i="15"/>
  <c r="C113" i="15"/>
  <c r="C112" i="15"/>
  <c r="C109" i="15"/>
  <c r="C108" i="15"/>
  <c r="C107" i="15"/>
  <c r="C106" i="15"/>
  <c r="C105" i="15"/>
  <c r="C38" i="15"/>
  <c r="C37" i="15"/>
  <c r="C23" i="15" l="1"/>
  <c r="C24" i="15" s="1"/>
  <c r="C20" i="15"/>
  <c r="C21" i="15" s="1"/>
  <c r="C271" i="15"/>
  <c r="F34" i="37" l="1"/>
  <c r="F35" i="37"/>
  <c r="F29" i="37"/>
  <c r="F30" i="37"/>
  <c r="F31" i="37"/>
  <c r="F32" i="37"/>
  <c r="F33" i="37"/>
  <c r="F28" i="37"/>
  <c r="F26" i="37"/>
  <c r="F21" i="37"/>
  <c r="F22" i="37"/>
  <c r="F23" i="37"/>
  <c r="F24" i="37"/>
  <c r="F25" i="37"/>
  <c r="F20" i="37"/>
  <c r="F11" i="37"/>
  <c r="F12" i="37"/>
  <c r="F13" i="37"/>
  <c r="F14" i="37"/>
  <c r="F18" i="37"/>
  <c r="F17" i="37"/>
  <c r="F16" i="37"/>
  <c r="F15" i="37"/>
  <c r="R1" i="37" l="1"/>
  <c r="R2" i="37"/>
  <c r="S2" i="37" l="1"/>
  <c r="S1" i="37"/>
</calcChain>
</file>

<file path=xl/sharedStrings.xml><?xml version="1.0" encoding="utf-8"?>
<sst xmlns="http://schemas.openxmlformats.org/spreadsheetml/2006/main" count="1399" uniqueCount="787">
  <si>
    <t>DESCRIPTION  -  SUPPLY</t>
  </si>
  <si>
    <t>COST</t>
  </si>
  <si>
    <t>PAINTS</t>
  </si>
  <si>
    <t>DESCRIPTION - INSTALLATION</t>
  </si>
  <si>
    <t>PAINT</t>
  </si>
  <si>
    <t>LAUNDRY</t>
  </si>
  <si>
    <t>CONSUMABLES</t>
  </si>
  <si>
    <t>DESIGN &amp; SUPPLY ONLY</t>
  </si>
  <si>
    <t>PAYMENT TERMS SUPPLY ONLY</t>
  </si>
  <si>
    <t>70% Deposit</t>
  </si>
  <si>
    <t>30% Balance prior to Dispatch</t>
  </si>
  <si>
    <t>FULL KIT - HIGH SET</t>
  </si>
  <si>
    <t>Full Kit - High Set</t>
  </si>
  <si>
    <t>FULL KIT - HS</t>
  </si>
  <si>
    <t>INSTALLATION FULL-KIT HIGH SET</t>
  </si>
  <si>
    <t>INSTALLATION</t>
  </si>
  <si>
    <t>DESIGN, SUPPLY &amp; INSTALL</t>
  </si>
  <si>
    <t>PAYMENT TERMS SUPPLY &amp; INSTALL</t>
  </si>
  <si>
    <t>50% Advance Payment</t>
  </si>
  <si>
    <t>Remaining balance to be paid in progress claim.</t>
  </si>
  <si>
    <t>G201 HOUSE | Full kit supply of materials for a 1-Bedroom House, 9.60mL x 7.20mW - High Set</t>
  </si>
  <si>
    <t>OPTIONAL | Paint Materials _G201-FK-HS</t>
  </si>
  <si>
    <t>Construction of G201-Full kit-HS | Includes Prelims: Civil &amp; Concrete works, Project Management, Direct Labour, Tools &amp; Equipment, PPE, Comsumables and Fuel &amp; Maintenance</t>
  </si>
  <si>
    <t>OPTIONAL | Ground Level Laundry</t>
  </si>
  <si>
    <t>OPTIONAL | Consumables_G201-FK-HS</t>
  </si>
  <si>
    <t>G202 HOUSE | Full kit supply of materials for a 2-Bedroom House, 9.60mL x 7.20mW - High Set</t>
  </si>
  <si>
    <t>OPTIONAL | Paint Materials _G202-FK-HS</t>
  </si>
  <si>
    <t>Construction of G202-Full kit-HS | Includes Prelims: Civil &amp; Concrete works, Project Management, Direct Labour, Tools &amp; Equipment, PPE, Comsumables and Fuel &amp; Maintenance</t>
  </si>
  <si>
    <t>OPTIONAL | Consumables_G202-FK-HS</t>
  </si>
  <si>
    <t>G302 HOUSE | Full kit supply of materials for a 2-Bedroom House, 12.00mL x 7.20mW - High Set</t>
  </si>
  <si>
    <t>OPTIONAL | Paint Materials _G302-FK-HS</t>
  </si>
  <si>
    <t>Construction of G302-Full kit-HS | Includes Prelims: Civil &amp; Concrete works, Project Management, Direct Labour, Tools &amp; Equipment, PPE, Comsumables and Fuel &amp; Maintenance</t>
  </si>
  <si>
    <t>OPTIONAL | Consumables_G302-FK-HS</t>
  </si>
  <si>
    <t>G303 HOUSE | Full kit supply of materials for a 3-Bedroom House, 12.00mL x 7.20mW - High Set</t>
  </si>
  <si>
    <t>OPTIONAL | Paint Materials _G303-FK-HS</t>
  </si>
  <si>
    <t>Construction of G303-Full kit-HS | Includes Prelims: Civil &amp; Concrete works, Project Management, Direct Labour, Tools &amp; Equipment, PPE, Comsumables and Fuel &amp; Maintenance</t>
  </si>
  <si>
    <t>OPTIONAL | Consumables_G303-FK-HS</t>
  </si>
  <si>
    <t>G403E HOUSE | Full kit supply of materials for a 3-Bedroom House with Ensuite, 15.00mL x 7.20mW - High Set</t>
  </si>
  <si>
    <t>OPTIONAL | Paint Materials _G403E-FK-HS</t>
  </si>
  <si>
    <t>Construction of G403E-Full kit-HS | Includes Prelims: Civil &amp; Concrete works, Project Management, Direct Labour, Tools &amp; Equipment, PPE, Comsumables and Fuel &amp; Maintenance</t>
  </si>
  <si>
    <t>OPTIONAL | Consumables_G403E-FK-HS</t>
  </si>
  <si>
    <t>Eric Contador</t>
  </si>
  <si>
    <t>estimating@RHODESPNG.COM</t>
  </si>
  <si>
    <t>+675 7122 2470</t>
  </si>
  <si>
    <t>G404 HOUSE | Full kit supply of materials for a 4-Bedroom House, 15.00mL x 7.20mW - High Set</t>
  </si>
  <si>
    <t>OPTIONAL | Paint Materials _G404-FK-HS</t>
  </si>
  <si>
    <t>Construction of G404-Full kit-HS | Includes Prelims: Civil &amp; Concrete works, Project Management, Direct Labour, Tools &amp; Equipment, PPE, Comsumables and Fuel &amp; Maintenance</t>
  </si>
  <si>
    <t>OPTIONAL | Consumables_G404-FK-HS</t>
  </si>
  <si>
    <t>Solomon Vada</t>
  </si>
  <si>
    <t>Estimator@RHODESPNG.COM</t>
  </si>
  <si>
    <t>+675 7263 7860</t>
  </si>
  <si>
    <t>RPNG-POM-DC</t>
  </si>
  <si>
    <t>G504E HOUSE | Full kit supply of materials for a 4-Bedroom House with Ensuite, 18.00mL x 7.20mW - High Set</t>
  </si>
  <si>
    <t>OPTIONAL | Paint Materials _G504E-FK-HS</t>
  </si>
  <si>
    <t>Construction of G504E-Full kit-HS | Includes Prelims: Civil &amp; Concrete works, Project Management, Direct Labour, Tools &amp; Equipment, PPE, Comsumables and Fuel &amp; Maintenance</t>
  </si>
  <si>
    <t>OPTIONAL | Consumables_G504E-FK-HS</t>
  </si>
  <si>
    <t>Cindy Tibola</t>
  </si>
  <si>
    <t>sales@RHODESPNG.COM</t>
  </si>
  <si>
    <t>+675 7373 4749</t>
  </si>
  <si>
    <t>RPNG-POM-CT</t>
  </si>
  <si>
    <t>FULL KIT - LOW SET</t>
  </si>
  <si>
    <t>Full Kit - Low Set</t>
  </si>
  <si>
    <t>FULL KIT - LS</t>
  </si>
  <si>
    <t>INSTALLATION FULL-KIT LOW SET</t>
  </si>
  <si>
    <t>Diana Carson</t>
  </si>
  <si>
    <t>sales_manager@RHODESPNG.COM</t>
  </si>
  <si>
    <t>+675 7190 9243</t>
  </si>
  <si>
    <t>RPNG-POM-DHC</t>
  </si>
  <si>
    <t>G100 HOUSE | Full kit supply of materials for a Open Plan Studio, 8.40mL x 4.80mW - Low Set</t>
  </si>
  <si>
    <t>OPTIONAL | Paint Materials _G100-FK-LS</t>
  </si>
  <si>
    <t>Construction of G100-Full kit-LS | Includes Prelims: Civil &amp; Concrete works, Project Management, Direct Labour, Tools &amp; Equipment, PPE, Comsumables and Fuel &amp; Maintenance</t>
  </si>
  <si>
    <t>N/A</t>
  </si>
  <si>
    <t>OPTIONAL | Consumables_G100-FK-LS</t>
  </si>
  <si>
    <t>Zana English</t>
  </si>
  <si>
    <t>sales2@RHODESPNG.COM</t>
  </si>
  <si>
    <t>+675 8267 1907</t>
  </si>
  <si>
    <t>RPNG-POM-ZE</t>
  </si>
  <si>
    <t>G201 HOUSE | Full kit supply of materials for a 1-Bedroom House, 9.60mL x 7.20mW - Low Set</t>
  </si>
  <si>
    <t>OPTIONAL | Paint Materials _G201-FK-LS</t>
  </si>
  <si>
    <t>Construction of G201-Full kit-LS | Includes Prelims: Civil &amp; Concrete works, Project Management, Direct Labour, Tools &amp; Equipment, PPE, Comsumables and Fuel &amp; Maintenance</t>
  </si>
  <si>
    <t>OPTIONAL | Consumables_G201-FK-LS</t>
  </si>
  <si>
    <t>Rose Kiwa</t>
  </si>
  <si>
    <t>Sales3@RHODESPNG.COM</t>
  </si>
  <si>
    <t>+675 7199 9004</t>
  </si>
  <si>
    <t>RPNG-POM-RK</t>
  </si>
  <si>
    <t>G202 HOUSE | Full kit supply of materials for a 2-Bedroom House, 9.60mL x 7.20mW - Low Set</t>
  </si>
  <si>
    <t>OPTIONAL | Paint Materials _G202-FK-LS</t>
  </si>
  <si>
    <t>Construction of G202-Full kit-LS | Includes Prelims: Civil &amp; Concrete works, Project Management, Direct Labour, Tools &amp; Equipment, PPE, Comsumables and Fuel &amp; Maintenance</t>
  </si>
  <si>
    <t>OPTIONAL | Consumables_G202-FK-LS</t>
  </si>
  <si>
    <t>Milton Antico</t>
  </si>
  <si>
    <t>sales4@RHODESPNG.COM</t>
  </si>
  <si>
    <t>+675 7497 0117</t>
  </si>
  <si>
    <t>RPNG-POM-MA</t>
  </si>
  <si>
    <t>G302 HOUSE | Full kit supply of materials for a 2-Bedroom House, 12.00mL x 7.20mW - Low Set</t>
  </si>
  <si>
    <t>OPTIONAL | Paint Materials _G302-FK-LS</t>
  </si>
  <si>
    <t>Construction of G302-Full kit-LS | Includes Prelims: Civil &amp; Concrete works, Project Management, Direct Labour, Tools &amp; Equipment, PPE, Comsumables and Fuel &amp; Maintenance</t>
  </si>
  <si>
    <t>OPTIONAL | Consumables_G302-FK-LS</t>
  </si>
  <si>
    <t>G303 HOUSE | Full kit supply of materials for a 3-Bedroom House, 12.00mL x 7.20mW - Low Set</t>
  </si>
  <si>
    <t>OPTIONAL | Paint Materials _G303-FK-LS</t>
  </si>
  <si>
    <t>Construction of G303-Full kit-LS | Includes Prelims: Civil &amp; Concrete works, Project Management, Direct Labour, Tools &amp; Equipment, PPE, Comsumables and Fuel &amp; Maintenance</t>
  </si>
  <si>
    <t>OPTIONAL | Consumables_G303-FK-LS</t>
  </si>
  <si>
    <t>G403E HOUSE | Full kit supply of materials for a 3-Bedroom House with Ensuite, 15.00mL x 7.20mW - Low Set</t>
  </si>
  <si>
    <t>OPTIONAL | Paint Materials _G403E-FK-LS</t>
  </si>
  <si>
    <t>Construction of G403E-Full kit-LS | Includes Prelims: Civil &amp; Concrete works, Project Management, Direct Labour, Tools &amp; Equipment, PPE, Comsumables and Fuel &amp; Maintenance</t>
  </si>
  <si>
    <t>OPTIONAL | Consumables_G403E-FK-LS</t>
  </si>
  <si>
    <t>G404 HOUSE | Full kit supply of materials for a 4-Bedroom House, 15.00mL x 7.20mW - Low Set</t>
  </si>
  <si>
    <t>OPTIONAL | Paint Materials _G404-FK-LS</t>
  </si>
  <si>
    <t>Construction of G404-Full kit-LS | Includes Prelims: Civil &amp; Concrete works, Project Management, Direct Labour, Tools &amp; Equipment, PPE, Comsumables and Fuel &amp; Maintenance</t>
  </si>
  <si>
    <t>OPTIONAL | Consumables_G404-FK-LS</t>
  </si>
  <si>
    <t>G504E HOUSE | Full kit supply of materials for a 4-Bedroom House with Ensuite, 18.00mL x 7.20mW - Low Set</t>
  </si>
  <si>
    <t>OPTIONAL | Paint Materials _G504E-FK-LS</t>
  </si>
  <si>
    <t>Construction of G504E-Full kit-LS | Includes Prelims: Civil &amp; Concrete works, Project Management, Direct Labour, Tools &amp; Equipment, PPE, Comsumables and Fuel &amp; Maintenance</t>
  </si>
  <si>
    <t>OPTIONAL | Consumables_G504E-FK-LS</t>
  </si>
  <si>
    <t>LOCK UP KIT - HIGH SET</t>
  </si>
  <si>
    <t>Lock-up Kit - High Set</t>
  </si>
  <si>
    <t>LOCK-UP KIT - HS</t>
  </si>
  <si>
    <t>INSTALLATION LOCK-UP KIT HIGH SET</t>
  </si>
  <si>
    <t>G201 HOUSE | Lock-up kit supply of materials for a 1-Bedroom House, 9.60mL x 7.20mW - High Set</t>
  </si>
  <si>
    <t>OPTIONAL | Paint Materials _G201-LK-HS</t>
  </si>
  <si>
    <t>?</t>
  </si>
  <si>
    <t>Construction of G201-Lock-up Kit-HS | Includes Prelims: Civil &amp; Concrete works, Project Management, Direct Labour, Tools &amp; Equipment, PPE, Comsumables and Fuel &amp; Maintenance</t>
  </si>
  <si>
    <t>G202 HOUSE | Lock-up kit supply of materials for a 2-Bedroom House, 9.60mL x 7.20mW - High Set</t>
  </si>
  <si>
    <t>OPTIONAL | Paint Materials _G202-LK-HS</t>
  </si>
  <si>
    <t>Construction of G202-Lock-up Kit-HS | Includes Prelims: Civil &amp; Concrete works, Project Management, Direct Labour, Tools &amp; Equipment, PPE, Comsumables and Fuel &amp; Maintenance</t>
  </si>
  <si>
    <t>G302 HOUSE | Lock-up kit supply of materials for a 2-Bedroom House, 12.00mL x 7.20mW - High Set</t>
  </si>
  <si>
    <t>OPTIONAL | Paint Materials _G302-LK-HS</t>
  </si>
  <si>
    <t>Construction of G302-Lock-up Kit-HS | Includes Prelims: Civil &amp; Concrete works, Project Management, Direct Labour, Tools &amp; Equipment, PPE, Comsumables and Fuel &amp; Maintenance</t>
  </si>
  <si>
    <t>G303 HOUSE | Lock-up kit supply of materials for a 3-Bedroom House, 12.00mL x 7.20mW - High Set</t>
  </si>
  <si>
    <t>OPTIONAL | Paint Materials _G303-LK-HS</t>
  </si>
  <si>
    <t>Construction of G303-Lock-up Kit-HS | Includes Prelims: Civil &amp; Concrete works, Project Management, Direct Labour, Tools &amp; Equipment, PPE, Comsumables and Fuel &amp; Maintenance</t>
  </si>
  <si>
    <t>G403E HOUSE | Lock-up kit supply of materials for a 3-Bedroom House with Ensuite, 15.00mL x 7.20mW - High Set</t>
  </si>
  <si>
    <t>OPTIONAL | Paint Materials _G403E-LK-HS</t>
  </si>
  <si>
    <t>Construction of G403E-Lock-up Kit-HS | Includes Prelims: Civil &amp; Concrete works, Project Management, Direct Labour, Tools &amp; Equipment, PPE, Comsumables and Fuel &amp; Maintenance</t>
  </si>
  <si>
    <t>G404 HOUSE | Lock-up kit supply of materials for a 4-Bedroom House, 15.00mL x 7.20mW - High Set</t>
  </si>
  <si>
    <t>OPTIONAL | Paint Materials _G404-LK-HS</t>
  </si>
  <si>
    <t>Construction of G404-Lock-up Kit-HS | Includes Prelims: Civil &amp; Concrete works, Project Management, Direct Labour, Tools &amp; Equipment, PPE, Comsumables and Fuel &amp; Maintenance</t>
  </si>
  <si>
    <t>G504E HOUSE | Lock-up kit supply of materials for a 4-Bedroom House with Ensuite, 18.00mL x 7.20mW - High Set</t>
  </si>
  <si>
    <t>OPTIONAL | Paint Materials _G504E-LK-HS</t>
  </si>
  <si>
    <t>Construction of G504E-Lock-up Kit-HS | Includes Prelims: Civil &amp; Concrete works, Project Management, Direct Labour, Tools &amp; Equipment, PPE, Comsumables and Fuel &amp; Maintenance</t>
  </si>
  <si>
    <t>LOCK UP KIT - LOW SET</t>
  </si>
  <si>
    <t>Lock-up Kit - Low Set</t>
  </si>
  <si>
    <t>LOCK-UP KIT - LS</t>
  </si>
  <si>
    <t>INSTALLATION LOCK-UP KIT LOW SET</t>
  </si>
  <si>
    <t>G100 HOUSE | Lock-up kit supply of materials for a Open Plan Studio, 8.40mL x 4.80mW - Low Set</t>
  </si>
  <si>
    <t>OPTIONAL | Paint Materials _G100-LK-LS</t>
  </si>
  <si>
    <t>Construction of G100-Lock-up Kit-LS | Includes Prelims: Civil &amp; Concrete works, Project Management, Direct Labour, Tools &amp; Equipment, PPE, Comsumables and Fuel &amp; Maintenance</t>
  </si>
  <si>
    <t>G201 HOUSE | Lock-up kit supply of materials for a 1-Bedroom House, 9.60mL x 7.20mW - Low Set</t>
  </si>
  <si>
    <t>OPTIONAL | Paint Materials _G201-LK-LS</t>
  </si>
  <si>
    <t>Construction of G201-Lock-up Kit-LS | Includes Prelims: Civil &amp; Concrete works, Project Management, Direct Labour, Tools &amp; Equipment, PPE, Comsumables and Fuel &amp; Maintenance</t>
  </si>
  <si>
    <t>G202 HOUSE | Lock-up kit supply of materials for a 2-Bedroom House, 9.60mL x 7.20mW - Low Set</t>
  </si>
  <si>
    <t>OPTIONAL | Paint Materials _G202-LK-LS</t>
  </si>
  <si>
    <t>Construction of G202-Lock-up Kit-LS | Includes Prelims: Civil &amp; Concrete works, Project Management, Direct Labour, Tools &amp; Equipment, PPE, Comsumables and Fuel &amp; Maintenance</t>
  </si>
  <si>
    <t>G302 HOUSE | Lock-up kit supply of materials for a 2-Bedroom House, 12.00mL x 7.20mW - Low Set</t>
  </si>
  <si>
    <t>OPTIONAL | Paint Materials _G302-LK-LS</t>
  </si>
  <si>
    <t>Construction of G302-Lock-up Kit-LS | Includes Prelims: Civil &amp; Concrete works, Project Management, Direct Labour, Tools &amp; Equipment, PPE, Comsumables and Fuel &amp; Maintenance</t>
  </si>
  <si>
    <t>G303 HOUSE | Lock-up kit supply of materials for a 3-Bedroom House, 12.00mL x 7.20mW - Low Set</t>
  </si>
  <si>
    <t>OPTIONAL | Paint Materials _G303-LK-LS</t>
  </si>
  <si>
    <t>Construction of G303-Lock-up Kit-LS | Includes Prelims: Civil &amp; Concrete works, Project Management, Direct Labour, Tools &amp; Equipment, PPE, Comsumables and Fuel &amp; Maintenance</t>
  </si>
  <si>
    <t>G403E HOUSE | Lock-up kit supply of materials for a 3-Bedroom House with Ensuite, 15.00mL x 7.20mW - Low Set</t>
  </si>
  <si>
    <t>OPTIONAL | Paint Materials _G403E-LK-LS</t>
  </si>
  <si>
    <t>Construction of G403E-Lock-up Kit-LS | Includes Prelims: Civil &amp; Concrete works, Project Management, Direct Labour, Tools &amp; Equipment, PPE, Comsumables and Fuel &amp; Maintenance</t>
  </si>
  <si>
    <t>G404 HOUSE | Lock-up kit supply of materials for a 4-Bedroom House, 15.00mL x 7.20mW - Low Set</t>
  </si>
  <si>
    <t>OPTIONAL | Paint Materials _G404-LK-LS</t>
  </si>
  <si>
    <t>Construction of G404-Lock-up Kit-LS | Includes Prelims: Civil &amp; Concrete works, Project Management, Direct Labour, Tools &amp; Equipment, PPE, Comsumables and Fuel &amp; Maintenance</t>
  </si>
  <si>
    <t>G504E HOUSE | Lock-up kit supply of materials for a 4-Bedroom House with Ensuite, 18.00mL x 7.20mW - Low Set</t>
  </si>
  <si>
    <t>OPTIONAL | Paint Materials _G504E-LK-LS</t>
  </si>
  <si>
    <t>Construction of G504E-Lock-up Kit-LS | Includes Prelims: Civil &amp; Concrete works, Project Management, Direct Labour, Tools &amp; Equipment, PPE, Comsumables and Fuel &amp; Maintenance</t>
  </si>
  <si>
    <r>
      <t xml:space="preserve">3-Bedroom House with Ground Level Laundry | </t>
    </r>
    <r>
      <rPr>
        <sz val="12"/>
        <rFont val="Calibri"/>
        <family val="2"/>
      </rPr>
      <t>12.00mL x 7.20mW - High Set</t>
    </r>
  </si>
  <si>
    <t>Annex 1 - List of Materials</t>
  </si>
  <si>
    <t>G303</t>
  </si>
  <si>
    <t>UNIT</t>
  </si>
  <si>
    <t>STOCK CODE</t>
  </si>
  <si>
    <t xml:space="preserve">MATERIALS DESCRIPTION </t>
  </si>
  <si>
    <t>QTY</t>
  </si>
  <si>
    <t>50106 -  WPC</t>
  </si>
  <si>
    <t>50106-TIS-001</t>
  </si>
  <si>
    <t xml:space="preserve">Timber Skirting | 25 x 75 x 2400mm Timber </t>
  </si>
  <si>
    <t>len</t>
  </si>
  <si>
    <t>Timber Architrave | 12 x 75 x 2400mm Timber</t>
  </si>
  <si>
    <t>50106-TID-002</t>
  </si>
  <si>
    <t>Timber Decking | 25 x 100 x 3000mm Timber</t>
  </si>
  <si>
    <t>50106-TIC-001</t>
  </si>
  <si>
    <t>Timber Cornice | 25 x 25 x 2400mm Timber Cornice</t>
  </si>
  <si>
    <t>each</t>
  </si>
  <si>
    <t>50111-SCC-013</t>
  </si>
  <si>
    <t>Fixing | 8G - 10 x 50 Countersunk DP self drilling screw</t>
  </si>
  <si>
    <t>50107 - STRUCTURAL &amp; BASE STEEL &amp; FOOTINGS (POSTS)</t>
  </si>
  <si>
    <t>50107-FRA-001</t>
  </si>
  <si>
    <t>Framecad Wall | LGS C89, 0.755BMT, G550, Z275, meter rate</t>
  </si>
  <si>
    <t>m</t>
  </si>
  <si>
    <t>Framecad Truss | LGS C89, 0.75BMT, G550, Z275, meter rate</t>
  </si>
  <si>
    <t>50107-FCP-001</t>
  </si>
  <si>
    <t>2398 J x 2998mm B, 1.8KPa Standard Floor Panel</t>
  </si>
  <si>
    <t>set</t>
  </si>
  <si>
    <t>Floor Bearer 1.8Kpa, 2998mm</t>
  </si>
  <si>
    <t>Pair</t>
  </si>
  <si>
    <t>Floor Joist C150, 2268mm</t>
  </si>
  <si>
    <t>2398 J x 2998mm B, 4KPa Standard Floor Panel</t>
  </si>
  <si>
    <t>Floor Bearer 4Kpa, 2998mm</t>
  </si>
  <si>
    <t>50107-SHS-001</t>
  </si>
  <si>
    <t>Steel Post | 75 x 4mm SHS, Q345, HDG600, 3.6m</t>
  </si>
  <si>
    <t>Steel Post | 75 x 4mm SHS, Q345, HDG600, 5.8m</t>
  </si>
  <si>
    <t>50107-SHS-002</t>
  </si>
  <si>
    <t>Steel Beam | 75 x 4mm SHS, Q345, HDG600, 4.8m</t>
  </si>
  <si>
    <t>50107-SHS-003</t>
  </si>
  <si>
    <t>Steel Beam | 75 x 4mm SHS, Q345, HDG600, 2.5m</t>
  </si>
  <si>
    <t>50107-ANC-001</t>
  </si>
  <si>
    <t>HDG Support Angle VA1 | 75 x 75 x 3mm</t>
  </si>
  <si>
    <t>50107-ANC-004</t>
  </si>
  <si>
    <t>Verandah Roof to Wall Tie Down | Continuous 40 x 40mm Angle. 0.95BMT, G550, Z275</t>
  </si>
  <si>
    <t>50107-PIH-00A</t>
  </si>
  <si>
    <t>PH (Corner) | PHA Bracket, Q340, HDG</t>
  </si>
  <si>
    <t>50107-PIH-00B</t>
  </si>
  <si>
    <t>PH (Central) | PHB Bracket, Q340, HDG</t>
  </si>
  <si>
    <t>50107-PIH-00D</t>
  </si>
  <si>
    <t>PH (Perimeter) | PHD Bracket, Q340, HDG</t>
  </si>
  <si>
    <t xml:space="preserve">Steel Beam | 75 x 4mm SHS, Q345, HDG600, 4.8m </t>
  </si>
  <si>
    <t>50107-ANC-002</t>
  </si>
  <si>
    <t>HDG Support Angle VA2 | 75 x 75 x 6mm</t>
  </si>
  <si>
    <t>50107-ANC-003</t>
  </si>
  <si>
    <t>DB | 40x40x3mm Angle Bracing - 3500mm</t>
  </si>
  <si>
    <t>Post Bracing End Plate | 50mm x 98mm x 147mm x 6mm Thk with 2- 14mm dia. hole</t>
  </si>
  <si>
    <t>Fixing | M16 x 25mm Bolts with Nuts &amp; Washer</t>
  </si>
  <si>
    <t>50107-STR-001</t>
  </si>
  <si>
    <t>Roof Bracing | 0.95 x 32mm Strap Brace 30 metre</t>
  </si>
  <si>
    <t>lm</t>
  </si>
  <si>
    <t>50107-STR-002</t>
  </si>
  <si>
    <t>Roof Bracing | Bracing Tensioners</t>
  </si>
  <si>
    <t>50107-BAT-002</t>
  </si>
  <si>
    <t>Roof Batten | 41mm Top Hat, G550, Z275 5800mm</t>
  </si>
  <si>
    <t>50107-BAT-001</t>
  </si>
  <si>
    <t>Ceiling Batten | 20mm Top Hat, G350, Z275 5800mm</t>
  </si>
  <si>
    <t>50107-ANC-007</t>
  </si>
  <si>
    <t>Triple Grip - Right | Pryda Multi Grip 100 x 35 x 35</t>
  </si>
  <si>
    <t>50107-ANC-008</t>
  </si>
  <si>
    <t>Triple Grip - Left | Pryda Multi Grip 100 x 35 x 35</t>
  </si>
  <si>
    <t>50107-GRO-001</t>
  </si>
  <si>
    <t>Accessories | Grommet 35mm Dia</t>
  </si>
  <si>
    <t>50107-ANC-017</t>
  </si>
  <si>
    <t>Accessories | Fix Plate Connector G350t, Z275, 0.95BMT</t>
  </si>
  <si>
    <t>50107-ANC-019</t>
  </si>
  <si>
    <t>Accessories | Hold Down and Fix Washer G350t, Z275, 1.15BMT</t>
  </si>
  <si>
    <t>50111-SCC-002</t>
  </si>
  <si>
    <t>Fixing | 12G - 14 x 20mm, HEX Head, DP</t>
  </si>
  <si>
    <t>50111-HEX-001</t>
  </si>
  <si>
    <t>Fixing | 12G - 24 x 45mm, HEX Head, DP</t>
  </si>
  <si>
    <t>50111-SCC-004</t>
  </si>
  <si>
    <t>Fixing | 12G - 24 x 38mm, HEX Head, DP</t>
  </si>
  <si>
    <t>50111-SCC-005</t>
  </si>
  <si>
    <t>Fixing | 10G - 18 x 19mm Flat Head, DP self drilling screw</t>
  </si>
  <si>
    <t>50111-SCC-007</t>
  </si>
  <si>
    <t>Fixing | 10G - 16 x 16mm Wafer Head, DP self drilling screw</t>
  </si>
  <si>
    <t>50111-BOL-007</t>
  </si>
  <si>
    <t>Fixing | M12 x 75mm Sleeve Anchors, HEX Head, Galvanised</t>
  </si>
  <si>
    <t>50111-BOL-025</t>
  </si>
  <si>
    <t>Fixing | M10 x 25mm HEX Bolt &amp; Nuts, Galvanised</t>
  </si>
  <si>
    <t>50111-BOL-004</t>
  </si>
  <si>
    <t>Fixing | M10 x 3.5 x 2.2mm Spring Washer, Galvanised</t>
  </si>
  <si>
    <t>50112 - ROOF &amp; ROOF PLUMBING</t>
  </si>
  <si>
    <t>50112-RCL-001</t>
  </si>
  <si>
    <t>Roof Cladding | Custom Orb 4450mm, 0.42mm BMT, 762mm</t>
  </si>
  <si>
    <t>50112-RCL-005</t>
  </si>
  <si>
    <t xml:space="preserve">Roof Cladding | Custom Orb 3650mm, 0.42mm BMT, 762mm </t>
  </si>
  <si>
    <t>50112-RCL-003</t>
  </si>
  <si>
    <t>Ridge Cap, 5800mm</t>
  </si>
  <si>
    <t>50112-RCL-002</t>
  </si>
  <si>
    <t>Barge Capping, 5800mm</t>
  </si>
  <si>
    <t>50112-FSH-001</t>
  </si>
  <si>
    <t>Apron Flashing, 3800mm</t>
  </si>
  <si>
    <t>50112-RCL-004</t>
  </si>
  <si>
    <t>Fascia, 5800mm</t>
  </si>
  <si>
    <t>50112-RCL-016</t>
  </si>
  <si>
    <t>Fascia Clips</t>
  </si>
  <si>
    <t>50112-PVG-001</t>
  </si>
  <si>
    <t>SL-01 | PVC Rain Gutter &amp; Downspout, 5800mm</t>
  </si>
  <si>
    <t>50112-PVG-002</t>
  </si>
  <si>
    <t>SL-02 | PVC Endcap L/H</t>
  </si>
  <si>
    <t>50112-PVG-003</t>
  </si>
  <si>
    <t>SL-02 | PVC Endcap R/H</t>
  </si>
  <si>
    <t>50112-PVG-004</t>
  </si>
  <si>
    <t>SL-03 | PVC Gutter Joiner</t>
  </si>
  <si>
    <t>50112-PVG-005</t>
  </si>
  <si>
    <t>SL-08 | PVC Drop Outlet</t>
  </si>
  <si>
    <t>50112-PVG-006</t>
  </si>
  <si>
    <t>SL-09 | PVC Downspout</t>
  </si>
  <si>
    <t>50112-PVG-007</t>
  </si>
  <si>
    <t xml:space="preserve">SL-10 | PVC Downspout Connector </t>
  </si>
  <si>
    <t>50112-PVG-008</t>
  </si>
  <si>
    <t>SL-12A | PVC 65degree Elbow</t>
  </si>
  <si>
    <t>50112-PVG-009</t>
  </si>
  <si>
    <t xml:space="preserve">SL-12B | PVC 90degree Elbow </t>
  </si>
  <si>
    <t>50112-PVG-010</t>
  </si>
  <si>
    <t>SL-13 | PVC Downspout "U" Clip</t>
  </si>
  <si>
    <t>50112-PVG-011</t>
  </si>
  <si>
    <t>SL-14 | PVC Gutter "A" Hanger</t>
  </si>
  <si>
    <t>50112-PVG-012</t>
  </si>
  <si>
    <t>SL-14 | PVC Gutter "U" Hanger</t>
  </si>
  <si>
    <t>50112-PVG-013</t>
  </si>
  <si>
    <t>SL-22 | Special Glue</t>
  </si>
  <si>
    <t>50112-RAC-001</t>
  </si>
  <si>
    <t>Bird Proofing Foam | Bird Proofing Foam</t>
  </si>
  <si>
    <t>50111-SCC-001</t>
  </si>
  <si>
    <t>Fixing | 12G - 14 x 50mm HEX Head with C4 Rubber Washer</t>
  </si>
  <si>
    <t>Fixing | 12G - 14 x 20mm HEX Head, DP</t>
  </si>
  <si>
    <t>50111-SCC-011</t>
  </si>
  <si>
    <t>Fixing | Blind Rivets Aluminum, 1/8" x 3/8"</t>
  </si>
  <si>
    <t>50113 - EXTERNAL CLADDING</t>
  </si>
  <si>
    <t>50113-WBC-001</t>
  </si>
  <si>
    <t>External Cladding | Weather Board 7.5mm FC 230 x 4200mm</t>
  </si>
  <si>
    <t>Timber Cornice | 25 x 25 x 2400mm Quad Cornice</t>
  </si>
  <si>
    <t>Soffit Flashing, 5800mm</t>
  </si>
  <si>
    <t>50115-HMJ-002</t>
  </si>
  <si>
    <t>7.5mm x 230mm PVC External H Joiner</t>
  </si>
  <si>
    <t>50115-WCC-001</t>
  </si>
  <si>
    <t>Aluminum Weatherboard Corner Flashing, 230mm</t>
  </si>
  <si>
    <t>50113-WBC-002</t>
  </si>
  <si>
    <t>Fixing | Stud Clips</t>
  </si>
  <si>
    <t>50111-SCC-017</t>
  </si>
  <si>
    <t>Fixing | 12G - 14 x 20mm Countersunk, DP self drilling screw</t>
  </si>
  <si>
    <t>50111-SCC-006</t>
  </si>
  <si>
    <t>Fixing | 10G - 16 x 25mm HEX Head, DP, Neo C3 Washer Rubber</t>
  </si>
  <si>
    <t>50114 - DOORS, WINDOWS &amp; GLAZINGS</t>
  </si>
  <si>
    <t>50114-DSC-003</t>
  </si>
  <si>
    <t>Door | 2040 x 920 x 35mm, SOLID CORE</t>
  </si>
  <si>
    <t>50114-DHC-003</t>
  </si>
  <si>
    <t>Door | 2040 x 820 x 35mm, HOLLOW CORE</t>
  </si>
  <si>
    <t>50114-DHC-007</t>
  </si>
  <si>
    <t>Door |  2040 x 720 x 35mm, HOLLOW CORE</t>
  </si>
  <si>
    <t>50114-DJA-003</t>
  </si>
  <si>
    <t>Door Frame | Timber Door Frames 2100mmH x 1000mmW</t>
  </si>
  <si>
    <t>50114-DJA-006</t>
  </si>
  <si>
    <t>Door Frame |Timber Door Frames 2100mmH x 900mmW</t>
  </si>
  <si>
    <t>50114-DJA-007</t>
  </si>
  <si>
    <t>Door Frame | Timber Door Frames 2100mmH x 800mmW</t>
  </si>
  <si>
    <t>50114-HIN-001</t>
  </si>
  <si>
    <t>Hinges | Hinge; Fixed Pin 100 x 75 x 2.5mm</t>
  </si>
  <si>
    <t>50114-DST-003</t>
  </si>
  <si>
    <t>Door Stop | Rubber Door Stopper (A-290 Half Moon)</t>
  </si>
  <si>
    <t>50114-PRS-001</t>
  </si>
  <si>
    <t>Door Lock | Door Privacy Set</t>
  </si>
  <si>
    <t>50114-ENS-001</t>
  </si>
  <si>
    <t>Door Lock | Door Entrance Set</t>
  </si>
  <si>
    <t>50114-PAS-003</t>
  </si>
  <si>
    <t>Door Lock | Single Cylinder Deadbolt</t>
  </si>
  <si>
    <t>50114-WFR-024</t>
  </si>
  <si>
    <t>Timber Window - A | 1080 x 1200mm complete with louver frames, blades &amp; security bars w/ Fly Screen</t>
  </si>
  <si>
    <t>Timber Framed Window | 1080 x 1200mm</t>
  </si>
  <si>
    <t>Window Strips | 12 x 38 x 2400mm Timber</t>
  </si>
  <si>
    <t>16Ø x 6M Plain Round bar, Galvanized</t>
  </si>
  <si>
    <t>Fly Screen</t>
  </si>
  <si>
    <t>m2</t>
  </si>
  <si>
    <t>150mm x 505mm x 6mm thk Clear Louvre Glass</t>
  </si>
  <si>
    <t>Louver Frame, 7blades</t>
  </si>
  <si>
    <t>pairs</t>
  </si>
  <si>
    <t>50114-WFR-025</t>
  </si>
  <si>
    <t>Timber Window - B | 800 x 620mm complete with louver frames, blades &amp; security bars w/ Fly Screen</t>
  </si>
  <si>
    <t>Timber Frame Window | 800 x 620mm</t>
  </si>
  <si>
    <t>150mm x 505mm x 6mm thk Frosted Louvre Glass</t>
  </si>
  <si>
    <t>Louver Frame, 5blades</t>
  </si>
  <si>
    <t>50114-WFR-027</t>
  </si>
  <si>
    <t>Timber Window - D | 1850 x 1200mm complete with louver frames, blades &amp; security bars w/ Fly Screen</t>
  </si>
  <si>
    <t>Timber Window Frame | 1850 x 1200mm</t>
  </si>
  <si>
    <t>50114-WLV-004</t>
  </si>
  <si>
    <t>Flashing | Window Head Flashing, 620mm</t>
  </si>
  <si>
    <t>50114-WLV-005</t>
  </si>
  <si>
    <t>Flashing | Window Head Flashing, 1200mm</t>
  </si>
  <si>
    <t>Flashing | Door Head Flashing, 1200mm</t>
  </si>
  <si>
    <t>Flashing | Doo Side Flashing, 2200mm</t>
  </si>
  <si>
    <t>50111-SCC-008</t>
  </si>
  <si>
    <t>Fixing | 10G - 24 x 40mm Countersunk, DP self drilling screw</t>
  </si>
  <si>
    <t>50115 - INTERNAL LININGS &amp; FINISHES</t>
  </si>
  <si>
    <t>50115-FCS-001</t>
  </si>
  <si>
    <t>FC Sheet Wall | 6mm thk, 1200 x 2700 Sheet, AS2908.2</t>
  </si>
  <si>
    <t>50115-FCS-002</t>
  </si>
  <si>
    <t>FC Sheet Ceiling | 6mm thk, 1200 x 2400 Sheet, AS2908.2</t>
  </si>
  <si>
    <t>50115-FCS-004</t>
  </si>
  <si>
    <t>FC Sheet Floor | 18mm thk, 1200 x 2400 Sheet</t>
  </si>
  <si>
    <t>50111-ADH-001</t>
  </si>
  <si>
    <t>Wall Stud Adhesive (4 lit)</t>
  </si>
  <si>
    <t>50115-FLR-001</t>
  </si>
  <si>
    <t>Vinyl Floor Plank | 2mm thk, 150x1220mm Vinyl Plank</t>
  </si>
  <si>
    <t>50115-FLR-004</t>
  </si>
  <si>
    <t>Ceramic Tiles | 600mm x 600mm Ceramic Non-Slip Floor Tiles</t>
  </si>
  <si>
    <t>50115-FLR-014</t>
  </si>
  <si>
    <t>Ceramic Tiles | 150 x150 Ceramic Wall Tiles (white)</t>
  </si>
  <si>
    <t>50115-HMJ-003</t>
  </si>
  <si>
    <t>Internal lining Accessory | PVC H Joiner 6mm, 2400mm</t>
  </si>
  <si>
    <t>50115-HMJ-004</t>
  </si>
  <si>
    <t>Internal lining Accessory | PVC H Joiner 6mm, 2700mm</t>
  </si>
  <si>
    <t>50115-HMJ-006</t>
  </si>
  <si>
    <t>6.0mm x 2700mm PVC Internal Capping, corner</t>
  </si>
  <si>
    <t>50115-HMJ-007</t>
  </si>
  <si>
    <t>6.0mm x 2700mm PVC External Capping, corner</t>
  </si>
  <si>
    <t>50115-FLR-010</t>
  </si>
  <si>
    <t>Floor aluminum angle trim, 900mm</t>
  </si>
  <si>
    <t>50111-SCC-010</t>
  </si>
  <si>
    <t>Fixing | 6G-18x25 BH, DP self drilling screw</t>
  </si>
  <si>
    <t>50110-ADH-002</t>
  </si>
  <si>
    <t>Flexible Tile Adhesive- 20 kg</t>
  </si>
  <si>
    <t>50111-ADH-005</t>
  </si>
  <si>
    <t>Vinyl Plank Adhesive - 15 litre</t>
  </si>
  <si>
    <t>50117 - HYDRAULICS</t>
  </si>
  <si>
    <t>50125-SCI-001</t>
  </si>
  <si>
    <t>PEX Straight Coupling Inline 16mm x 16mm</t>
  </si>
  <si>
    <t>50125-SCI-002</t>
  </si>
  <si>
    <t>PEX Straight Coupling Inline 25mm x 25mm</t>
  </si>
  <si>
    <t>50125-RCC-002</t>
  </si>
  <si>
    <t>PEX Reducing Coupling 25 x 16mm</t>
  </si>
  <si>
    <t>50125-RCC-003</t>
  </si>
  <si>
    <t>PEX Reducing Coupling 20 x 25mm</t>
  </si>
  <si>
    <t>50125-MSC-005</t>
  </si>
  <si>
    <t>PEX Straight Connector Male Thread Fixed Adaptor 16 x 1/2" MI</t>
  </si>
  <si>
    <t>50125-MSC-006</t>
  </si>
  <si>
    <t>PEX Straight Connector Male Thread Fixed Adaptor 20 x 3/4" MI</t>
  </si>
  <si>
    <t>50125-MSC-007</t>
  </si>
  <si>
    <t>PEX Straight Connector Male Thread Fixed Adaptor 25 x 1" MI</t>
  </si>
  <si>
    <t>50125-EEP-001</t>
  </si>
  <si>
    <t>PEX Equal Elbow 15 x 15mm</t>
  </si>
  <si>
    <t>50125-EEP-003</t>
  </si>
  <si>
    <t>PEX Equal Elbow 20 x 20mm</t>
  </si>
  <si>
    <t>50125-EEP-002</t>
  </si>
  <si>
    <t>PEX Equal Elbow 25 x 25mm</t>
  </si>
  <si>
    <t>50125-WBE-001</t>
  </si>
  <si>
    <t>PEX Winged Back Elbow Male Thread Ext 65mm 15 x 1/2" x 65mm MI</t>
  </si>
  <si>
    <t>50125-PTP-002</t>
  </si>
  <si>
    <t>PEX T-Piece Reduced Centre 25 x 16 x 25mm</t>
  </si>
  <si>
    <t>50111-SCC-003</t>
  </si>
  <si>
    <t>PEX T-Piece Reduced Center 25 x 20 x 25mm</t>
  </si>
  <si>
    <t>50125-PVT-003</t>
  </si>
  <si>
    <t>PEX Tee 25mm</t>
  </si>
  <si>
    <t>50125-ESP-001</t>
  </si>
  <si>
    <t>PEX Stopper Pipe End Plug 16mm</t>
  </si>
  <si>
    <t>50125-ESP-002</t>
  </si>
  <si>
    <t>PEX Stopper Pipe End Plug 25mm</t>
  </si>
  <si>
    <t>50125-SCA-001</t>
  </si>
  <si>
    <t>Shower Assembly 8" Right Angle</t>
  </si>
  <si>
    <t>50129-CCO-001</t>
  </si>
  <si>
    <t>Cistern Cock 16mm</t>
  </si>
  <si>
    <t>50129-CCO-002</t>
  </si>
  <si>
    <t>Wall Plate 16mm</t>
  </si>
  <si>
    <t>50125-GVF-003</t>
  </si>
  <si>
    <t>Brass Gate Valve F/F 1/2" FI</t>
  </si>
  <si>
    <t>50125-GVF-002</t>
  </si>
  <si>
    <t>Brass Gate Valve F/F 1" FI</t>
  </si>
  <si>
    <t>50125-GVF-001</t>
  </si>
  <si>
    <t>Brass Gate Valve F/F 3/4" FI</t>
  </si>
  <si>
    <t>50125-TNM-004</t>
  </si>
  <si>
    <t>Brass Threaded Nipple Male 1" MI</t>
  </si>
  <si>
    <t>50125-TNM-001</t>
  </si>
  <si>
    <t>Brass Threaded Nipple Male 1/2" MI</t>
  </si>
  <si>
    <t>50125-TNM-002</t>
  </si>
  <si>
    <t>Brass Threaded Nipple Male 3/4" MI</t>
  </si>
  <si>
    <t>50125-SCV-003</t>
  </si>
  <si>
    <t>Brass Swing Check Valve 1/2"</t>
  </si>
  <si>
    <t>50125-SCV-002</t>
  </si>
  <si>
    <t>Brass Swing Check Valve 1"</t>
  </si>
  <si>
    <t>50125-SCV-001</t>
  </si>
  <si>
    <t>Brass Swing Check Valve 3/4"</t>
  </si>
  <si>
    <t>50125-PPX-001</t>
  </si>
  <si>
    <t>PEX Pipe 16mm</t>
  </si>
  <si>
    <t>50125-PPX-003</t>
  </si>
  <si>
    <t>PEX Pipe 20mm</t>
  </si>
  <si>
    <t>50125-PPX-002</t>
  </si>
  <si>
    <t>PEX Pipe 25mm</t>
  </si>
  <si>
    <t>50125-SAC-002</t>
  </si>
  <si>
    <t>Saddle Clip 25mm</t>
  </si>
  <si>
    <t>50125-SAC-001</t>
  </si>
  <si>
    <t>Sadde Clip 16mm</t>
  </si>
  <si>
    <t>50125-SFG-002</t>
  </si>
  <si>
    <t>SS Floor Grate 100mm</t>
  </si>
  <si>
    <t>50125-FHO-001</t>
  </si>
  <si>
    <t>Flexible Hose 1/2"F x 1/2"F x 400mm</t>
  </si>
  <si>
    <t>50112-DWP-003</t>
  </si>
  <si>
    <t>PVC Pipe 100mm x 5800mm</t>
  </si>
  <si>
    <t>50112-DWP-006</t>
  </si>
  <si>
    <t>PVC Pipe 65mm x 5800mm</t>
  </si>
  <si>
    <t>50112-DWP-002</t>
  </si>
  <si>
    <t>PVC Pipe 50mm x 5800mm</t>
  </si>
  <si>
    <t>50112-DWP-001</t>
  </si>
  <si>
    <t>PVC Pipe 40mm x 5800mm</t>
  </si>
  <si>
    <t>50125-PRS-011</t>
  </si>
  <si>
    <t>PVC Straigth Coupling 100mm</t>
  </si>
  <si>
    <t>50125-PRS-014</t>
  </si>
  <si>
    <t>PVC Straigth Coupling 50mm</t>
  </si>
  <si>
    <t>50125-RCC-004</t>
  </si>
  <si>
    <t xml:space="preserve">PVC Reducing Coupling 65x50mm </t>
  </si>
  <si>
    <t>50125-RCS-001</t>
  </si>
  <si>
    <t>PVC Reducing Socket 100x65mm</t>
  </si>
  <si>
    <t>50125-PSJ-001</t>
  </si>
  <si>
    <t>PVC Sweep Junction 100mm x 88degree</t>
  </si>
  <si>
    <t>50125-PSJ-002</t>
  </si>
  <si>
    <t>PVC Sweep Junction 100mm x 45degree</t>
  </si>
  <si>
    <t>50125-PLB-013</t>
  </si>
  <si>
    <t>PVC Plain Bend 100mm x 88degree</t>
  </si>
  <si>
    <t>50125-PLB-007</t>
  </si>
  <si>
    <t>PVC Cross Tee 100mmx45Deg</t>
  </si>
  <si>
    <t>50125-PLB-012</t>
  </si>
  <si>
    <t>PVC Plain Bend 65mm x 88degree</t>
  </si>
  <si>
    <t>50125-PLB-011</t>
  </si>
  <si>
    <t>PVC Plain Bend 50mm x 88degree</t>
  </si>
  <si>
    <t>50125-PLB-010</t>
  </si>
  <si>
    <t>PVC Plain Bend 40mm x 88degree</t>
  </si>
  <si>
    <t>50125-PVT-002</t>
  </si>
  <si>
    <t>PVC Tee 65mm</t>
  </si>
  <si>
    <t>50125-PVT-001</t>
  </si>
  <si>
    <t>PVC Tee 50mm</t>
  </si>
  <si>
    <t>50125-SHO-001</t>
  </si>
  <si>
    <t>PVC Plain Bend 50mm x 45degree</t>
  </si>
  <si>
    <t>50125-PLB-026</t>
  </si>
  <si>
    <t>Inspection Opening 100mm</t>
  </si>
  <si>
    <t>50125-FWG-004</t>
  </si>
  <si>
    <t>PVC Gully Trap 100mm x 100mm</t>
  </si>
  <si>
    <t>50125-PLB-032</t>
  </si>
  <si>
    <t>PVC Double Bowl Sink Connector 50mm</t>
  </si>
  <si>
    <t>50125-FWG-001</t>
  </si>
  <si>
    <t>PVC Floor Waste Gully 100mm x 65mm</t>
  </si>
  <si>
    <t>50125-PVE-001</t>
  </si>
  <si>
    <t>PVC Vent Cowl 65mm</t>
  </si>
  <si>
    <t>50125-PTC-003</t>
  </si>
  <si>
    <t>S&amp;P Trap Combination 50mm</t>
  </si>
  <si>
    <t>50125-PTC-002</t>
  </si>
  <si>
    <t>S&amp;P Trap Combination 40mm</t>
  </si>
  <si>
    <t>50125-PLB-008</t>
  </si>
  <si>
    <t>Four Way Riser 100 x 50 x 50 x 50 x 40mm</t>
  </si>
  <si>
    <t>50125-PRS-015</t>
  </si>
  <si>
    <t>Dome Grate with Collar 100mm</t>
  </si>
  <si>
    <t>50125-PRS-010</t>
  </si>
  <si>
    <t>PVC Pan Collar 100mm</t>
  </si>
  <si>
    <t>50125-GRA-003</t>
  </si>
  <si>
    <t>PVC Floor Grate 65mm</t>
  </si>
  <si>
    <t>50125-SAC-005</t>
  </si>
  <si>
    <t>Saddle Clip 100mm</t>
  </si>
  <si>
    <t>50125-SAC-004</t>
  </si>
  <si>
    <t>Saddle Clip 65mm</t>
  </si>
  <si>
    <t>50125-DEK-001</t>
  </si>
  <si>
    <t>Dektite Rubber Seal 65mm</t>
  </si>
  <si>
    <t>50111-GLU-001</t>
  </si>
  <si>
    <t>PVC Glue 500ml</t>
  </si>
  <si>
    <t>50125-PVG-002</t>
  </si>
  <si>
    <t>PVC Priming Fluid 500ml</t>
  </si>
  <si>
    <t>50125-HAC-002</t>
  </si>
  <si>
    <t>Hanging Clip 100mm</t>
  </si>
  <si>
    <t>50125-HAC-003</t>
  </si>
  <si>
    <t>Hanging Clip 65mm</t>
  </si>
  <si>
    <t>50125-HAC-001</t>
  </si>
  <si>
    <t>Hanging Clip 50mm</t>
  </si>
  <si>
    <t>50125-HAC-004</t>
  </si>
  <si>
    <t>Hanging Clip 40mm</t>
  </si>
  <si>
    <t>50139-CRI-001</t>
  </si>
  <si>
    <t>Crimper</t>
  </si>
  <si>
    <t>50118 - INSULATION</t>
  </si>
  <si>
    <t>50118-BLW-002</t>
  </si>
  <si>
    <t>Wall | Multi purpose Sisalation to AS4200.1,1.35x60m roll</t>
  </si>
  <si>
    <t>roll</t>
  </si>
  <si>
    <t>Roof | Multi purpose Sisalation to AS4200.1,1.35x60m roll</t>
  </si>
  <si>
    <t>50107-WMR-001</t>
  </si>
  <si>
    <t>Mesh Chicken Wire - 50x1x1.8x50</t>
  </si>
  <si>
    <t>50118-BLW-005</t>
  </si>
  <si>
    <t>Sisalation Tape - 50m</t>
  </si>
  <si>
    <t>50118-MAL-001</t>
  </si>
  <si>
    <t>Malthoid damp proof membrane 90mmx20m</t>
  </si>
  <si>
    <t>50111-SCC-019</t>
  </si>
  <si>
    <t>Fixing | 10g-14 x 16mm, WAFER, SQUARE, Self-Tapping AS3566 Class 3</t>
  </si>
  <si>
    <t>50119 - ELECTRICAL SERVICES - CABLES &amp; CONDUITS</t>
  </si>
  <si>
    <t>50119-FLF-005</t>
  </si>
  <si>
    <t>18W LED Oyster Type/Round Light Fitting, 6500K White</t>
  </si>
  <si>
    <t>pcs</t>
  </si>
  <si>
    <t>50119-FLF-008</t>
  </si>
  <si>
    <t>12W LED Oyster Type/Round Light Fitting, 6500K White</t>
  </si>
  <si>
    <t>50119-FLF-009</t>
  </si>
  <si>
    <t>12W LED Oyster Type/Round Light Fitting, Weatherproof, 6500K White</t>
  </si>
  <si>
    <t>50119-FLF-010</t>
  </si>
  <si>
    <t xml:space="preserve">10W LED Floodlight, weatherproof, 6500K White </t>
  </si>
  <si>
    <t>50119-FAN-001</t>
  </si>
  <si>
    <t>1200mm dia. Ceiling fans with regulator &amp; fixings/fanhooks</t>
  </si>
  <si>
    <t>sets</t>
  </si>
  <si>
    <t>50119-EXH-002</t>
  </si>
  <si>
    <t xml:space="preserve">Wall Mount Exhaust Fan, 150mmdia. </t>
  </si>
  <si>
    <t>50119-LIS-002</t>
  </si>
  <si>
    <t xml:space="preserve">Light switch 1-gang </t>
  </si>
  <si>
    <t>50119-LIS-001</t>
  </si>
  <si>
    <t xml:space="preserve">Light switch 2-gang </t>
  </si>
  <si>
    <t>50119-ELC-023</t>
  </si>
  <si>
    <t>Switch Weather Proof</t>
  </si>
  <si>
    <t>50119-GPO-002</t>
  </si>
  <si>
    <t xml:space="preserve">Double GPO, 10A </t>
  </si>
  <si>
    <t>50119-GPO-001</t>
  </si>
  <si>
    <t xml:space="preserve">Single GPO, 10A </t>
  </si>
  <si>
    <t>50119-GPO-005</t>
  </si>
  <si>
    <t xml:space="preserve">Double GPO, 10A, Weatherproof  </t>
  </si>
  <si>
    <t>pc</t>
  </si>
  <si>
    <t>50119-GPO-004</t>
  </si>
  <si>
    <t xml:space="preserve">Single GPO, 10A, Weatherproof  </t>
  </si>
  <si>
    <t>50119-NPO-007</t>
  </si>
  <si>
    <t xml:space="preserve">Load Centre 12Pole, PVC, surface mount </t>
  </si>
  <si>
    <t>50119-MCB-001</t>
  </si>
  <si>
    <t>MCB, 63A, 1P</t>
  </si>
  <si>
    <t>50119-RCB-002</t>
  </si>
  <si>
    <t>RCBO, 10A, 30mA, 1P, load centre type, compact/slim</t>
  </si>
  <si>
    <t>50119-RCB-001</t>
  </si>
  <si>
    <t xml:space="preserve">RCBO, 16A, 30mA, 1P, load centre type, compact/slim </t>
  </si>
  <si>
    <t>50119-CAB-032</t>
  </si>
  <si>
    <t xml:space="preserve">16mm2 2C + E PVC/PVC TPS Flat Cable </t>
  </si>
  <si>
    <t>meters</t>
  </si>
  <si>
    <t>50119-CAB-035</t>
  </si>
  <si>
    <t xml:space="preserve">16mm2 2C PVC/PVC TPS Flat Cable </t>
  </si>
  <si>
    <t>50119-CAB-012</t>
  </si>
  <si>
    <t xml:space="preserve">6mm2 Building Wire Green/Yellow </t>
  </si>
  <si>
    <t>50119-CAB-005</t>
  </si>
  <si>
    <t>2.5mm2 2C + E pvc/pvc TPS</t>
  </si>
  <si>
    <t>50119-CAB-006</t>
  </si>
  <si>
    <t xml:space="preserve">1.5mm2 2C + E pvc/pvc TPS </t>
  </si>
  <si>
    <t>50119-CAB-008</t>
  </si>
  <si>
    <t>1.5mm2 Twin Active/Switch Cable, pvc/pvc, TPS</t>
  </si>
  <si>
    <t>50119-CAB-007</t>
  </si>
  <si>
    <t>1.5mm2 Twin Active + E /Fan Cable, pvc/pvc, TPS</t>
  </si>
  <si>
    <t>50119-CON-003</t>
  </si>
  <si>
    <t xml:space="preserve">Conduit 32mmdia x 4meters, LD, grey </t>
  </si>
  <si>
    <t>lengths</t>
  </si>
  <si>
    <t>50119-CON-005</t>
  </si>
  <si>
    <t xml:space="preserve">Conduit 25mmdia x 4meters, LD, grey </t>
  </si>
  <si>
    <t>50119-COU-002</t>
  </si>
  <si>
    <t>Coupling 25mm</t>
  </si>
  <si>
    <t>50119-COU-001</t>
  </si>
  <si>
    <t>Coupling 32mm</t>
  </si>
  <si>
    <t>50119-PVA-002</t>
  </si>
  <si>
    <t xml:space="preserve">PVC adaptor with lockring 32mmdia </t>
  </si>
  <si>
    <t>50119-PVA-003</t>
  </si>
  <si>
    <t xml:space="preserve">PVC adaptor with lockring 25mmdia </t>
  </si>
  <si>
    <t>50119-PDE-001</t>
  </si>
  <si>
    <t>Dead End</t>
  </si>
  <si>
    <t>50119-SAD-002</t>
  </si>
  <si>
    <t>Saddles, pvc, 32mm</t>
  </si>
  <si>
    <t>50119-SAD-003</t>
  </si>
  <si>
    <t>Saddles, pvc, 25mm</t>
  </si>
  <si>
    <t>50119-GMB-001</t>
  </si>
  <si>
    <t>Galvanized Meter Box 300 x 300 x 250mm</t>
  </si>
  <si>
    <t>50119-WEA-004</t>
  </si>
  <si>
    <t xml:space="preserve">Mains Entry Box, 1-phase, 16mm2 max. </t>
  </si>
  <si>
    <t>50119-ELC-010</t>
  </si>
  <si>
    <t xml:space="preserve">Earth Stake with earth clamp, 13mm dia. </t>
  </si>
  <si>
    <t>50119-CSW-001</t>
  </si>
  <si>
    <t xml:space="preserve">Coach Screw, 10mmdia x 60mm for mounting ceiling fans </t>
  </si>
  <si>
    <t>50119-ELC-012</t>
  </si>
  <si>
    <t>Single Screw Connectors</t>
  </si>
  <si>
    <t>50119-ELC-008</t>
  </si>
  <si>
    <t>Insulation Tape, (Red)</t>
  </si>
  <si>
    <t>rolls</t>
  </si>
  <si>
    <t>50119-ELC-006</t>
  </si>
  <si>
    <t>Insulation Tape, (Black)</t>
  </si>
  <si>
    <t>50119-ELC-007</t>
  </si>
  <si>
    <t>Insulation Tape, (Yellow/Green)</t>
  </si>
  <si>
    <t>50119-BRA-002</t>
  </si>
  <si>
    <t xml:space="preserve">Wall Brackets, Full, Metal </t>
  </si>
  <si>
    <t>50111-SCC-020</t>
  </si>
  <si>
    <t>Self Drilling, Tapping Metal Screws, Wafer Head 8G x 40mm</t>
  </si>
  <si>
    <t>50111-SCC-018</t>
  </si>
  <si>
    <t>Self Drilling, Tapping Metal Screws, Wafer Head 8G x 16mm</t>
  </si>
  <si>
    <t>50119-ELC-015</t>
  </si>
  <si>
    <t>Smoke Detector Mains Powered (240Vac) with 9Vdc back-up</t>
  </si>
  <si>
    <t>50129-FEX-001</t>
  </si>
  <si>
    <t>Fire Extinguisher - 4.5kg Dry Powder</t>
  </si>
  <si>
    <t>50129-FBL-001</t>
  </si>
  <si>
    <t>Fire Blanket</t>
  </si>
  <si>
    <t>50124 - STAIRS, RAMPS, &amp; BALUSTRADES</t>
  </si>
  <si>
    <t>50107-GAP-002</t>
  </si>
  <si>
    <t>40mm OD Galvanised Pipe x 5800mm</t>
  </si>
  <si>
    <t>50124-BAL-001</t>
  </si>
  <si>
    <t xml:space="preserve">No Slope Balustrade Panel 695 x 4000mm, 12mm Round Bars </t>
  </si>
  <si>
    <t>50124-BAL-002</t>
  </si>
  <si>
    <t xml:space="preserve">37 Degree Slope Balustrade Panel 503 x 4000mm, 12mm Round Bars </t>
  </si>
  <si>
    <t>50124-CLA-004</t>
  </si>
  <si>
    <t>Base Flange Type C, Part No. 131</t>
  </si>
  <si>
    <t>50124-CLA-005</t>
  </si>
  <si>
    <t>Railing Base Flange Type C, Part No. 132</t>
  </si>
  <si>
    <t>50124-CLA-018</t>
  </si>
  <si>
    <t>Double Sided Fixing Bracket Type C, Part No. 198</t>
  </si>
  <si>
    <t>50124-CLA-002</t>
  </si>
  <si>
    <t>Two Socket Cross Type C, Part No. 119</t>
  </si>
  <si>
    <t>50124-CLA-001</t>
  </si>
  <si>
    <t>Reducing Short Tee Type C, Part No. 101</t>
  </si>
  <si>
    <t>50124-CLA-023</t>
  </si>
  <si>
    <t>Variable Elbow Type , Part No. DDA-5</t>
  </si>
  <si>
    <t>50124-CLA-019</t>
  </si>
  <si>
    <t>40 Diameter x 90 Degree Elbow, Part No. DDA-1</t>
  </si>
  <si>
    <t>50124-CLA-025</t>
  </si>
  <si>
    <t>Adjustable Tee 30-60 Degree Type C, Part No. 129</t>
  </si>
  <si>
    <t>50124-CLA-016</t>
  </si>
  <si>
    <t>Single Swivel Type C, Part No. 173</t>
  </si>
  <si>
    <t>50124-CLA-022</t>
  </si>
  <si>
    <t xml:space="preserve">Single Male Swivel Handrail Saddle, Type C, Part No. DDA-4 </t>
  </si>
  <si>
    <t>50124-CLA-014</t>
  </si>
  <si>
    <t>Single Sided Mesh Panel Type C, Part No. 170</t>
  </si>
  <si>
    <t>50124-CLA-009</t>
  </si>
  <si>
    <t>Internal Joint Type C, Part No. 150</t>
  </si>
  <si>
    <t>50124-CLA-006</t>
  </si>
  <si>
    <t>Plastic End Cap Type C 133</t>
  </si>
  <si>
    <t>50124-STR-001</t>
  </si>
  <si>
    <t>Stair Stringer STR-1 - Prefabricated Complete Set (L/R) 5 RISER</t>
  </si>
  <si>
    <t>50124-STR-002</t>
  </si>
  <si>
    <t>Stair Stringer STR-2 - Prefabricated Complete Set (L/R) 9 RISER</t>
  </si>
  <si>
    <t>50111-DYN-012</t>
  </si>
  <si>
    <t>M12 x 75mm Galvanised Dyna Bolts</t>
  </si>
  <si>
    <t>50111-BOL-005</t>
  </si>
  <si>
    <t>M12 x 40mm Hex Head Galv. Bolts with Nuts &amp; Washers</t>
  </si>
  <si>
    <t>50111-BOL-002</t>
  </si>
  <si>
    <t>Fixing | M8 x 60 Cup Head Bolt and Nut Grade 4.6 GALV.</t>
  </si>
  <si>
    <t>50111-BOL-003</t>
  </si>
  <si>
    <t>Fixing | M8 x 19 X 1.6mm (1/4") Flat Washer GALV.</t>
  </si>
  <si>
    <t>Steel Post | 75 x 4mm SHS, Q345, HDG600, 2.5m</t>
  </si>
  <si>
    <t>50107-FCP-00C</t>
  </si>
  <si>
    <t>1100 x 1100 1.8kpa  Floor Panel</t>
  </si>
  <si>
    <t>Floor Bearer 1100mm, 1.8Kpa</t>
  </si>
  <si>
    <t>pair</t>
  </si>
  <si>
    <t>C150 Floor Joist, 970mm</t>
  </si>
  <si>
    <t>50106-STT-003</t>
  </si>
  <si>
    <t>Step Treads | Hardwood 125mm x 50mm, 1200mm</t>
  </si>
  <si>
    <t>50129 - FURNITURE FITTINGS &amp; EQUIPMENT (FFE)</t>
  </si>
  <si>
    <t>50129-WCP-005</t>
  </si>
  <si>
    <t>FFE | Toilet Suite P-Trap - Water Closet Toilet Pan, complete with cistern, toilet seat, &amp; connectors.</t>
  </si>
  <si>
    <t>50129-PAP-001</t>
  </si>
  <si>
    <t>FFE | Toilet Roll Holder, Chrome Finish 185 x 95.5mm</t>
  </si>
  <si>
    <t>50129-MIR-005</t>
  </si>
  <si>
    <t>FFE | Bathroom Mirror, Everton Polished, Flat Edge Mirror, 600 x 900mm</t>
  </si>
  <si>
    <t>50129-VAN-001</t>
  </si>
  <si>
    <t>FFE | Vanity Basin  with one tapholes and 650mm  cabinet stand</t>
  </si>
  <si>
    <t>50129-TSV-002</t>
  </si>
  <si>
    <t xml:space="preserve">FFE | Hand Basin  Taps </t>
  </si>
  <si>
    <t>50129-SOA-001</t>
  </si>
  <si>
    <t>FFE | Soap holder</t>
  </si>
  <si>
    <t>50129-TSK-001</t>
  </si>
  <si>
    <t>FFE | Kitchen Tap</t>
  </si>
  <si>
    <t>50129-KSS-002</t>
  </si>
  <si>
    <t>FFE | Kitchen Sink, 1000 x 500 x 200mm w/ plug &amp; Waste</t>
  </si>
  <si>
    <t>50129-SHW-001</t>
  </si>
  <si>
    <t>FFE | Shower Tray 900 x 900  w/ drain plug</t>
  </si>
  <si>
    <t>50129-SHC-002</t>
  </si>
  <si>
    <t xml:space="preserve">FFE | Shower Curtain  Rail </t>
  </si>
  <si>
    <t>50129-TSS-002</t>
  </si>
  <si>
    <t>FFE | Shower Tap &amp; Rose Set  hot &amp; cold</t>
  </si>
  <si>
    <t>50129-RAI-001</t>
  </si>
  <si>
    <t xml:space="preserve">FFE | Towel Rail </t>
  </si>
  <si>
    <t>FFE | Kitchen and Cupboards | Kitchen Cabinets &amp; Drawers</t>
  </si>
  <si>
    <t>50129-JOI-011</t>
  </si>
  <si>
    <t xml:space="preserve">           Base Cabinet | 900mm Wx 561mmD x 720mmH</t>
  </si>
  <si>
    <t xml:space="preserve">           Base Cabinet | 450mm Wx 561mmD x 720mmH</t>
  </si>
  <si>
    <t xml:space="preserve">           Base Cabinet | 250mm Wx 561mmD x 720mmH</t>
  </si>
  <si>
    <t>50129-JOI-012</t>
  </si>
  <si>
    <t xml:space="preserve">           Drawer Cabinet | 450mm Wx 561mmD x 720mmH</t>
  </si>
  <si>
    <t>50129-JOI-013</t>
  </si>
  <si>
    <t xml:space="preserve">           Corner Base Cabinet | 900x 900mm Wx 561mmD x 720mmH</t>
  </si>
  <si>
    <t>50129-JOI-014</t>
  </si>
  <si>
    <t xml:space="preserve">           Wall Cabinet | 450mm Wx 299mmD x 720mmH</t>
  </si>
  <si>
    <t>50129-JOI-005</t>
  </si>
  <si>
    <t xml:space="preserve">           Rangehood Wall Cabinet | 600mmW x 299mmD x 460mmH</t>
  </si>
  <si>
    <t>50129-BEN-001</t>
  </si>
  <si>
    <t xml:space="preserve">           Bamboo Bench Top | 2100mm Wx 620mmD x 25mm thk</t>
  </si>
  <si>
    <t>50129-BEN-002</t>
  </si>
  <si>
    <t xml:space="preserve">           Bamboo Bench Top | 1208mm Wx 620mmD x 25mm thk</t>
  </si>
  <si>
    <t>50129-BEN-003</t>
  </si>
  <si>
    <t xml:space="preserve">           Bamboo Bench Top | 920mm Wx 620mmD x 25mm thk</t>
  </si>
  <si>
    <t>Ground Level Laundry</t>
  </si>
  <si>
    <t>50106-WPD-001</t>
  </si>
  <si>
    <t>50106-WPD-003</t>
  </si>
  <si>
    <t>Framecad Ground Floor Wall | LGS C89, 0.75BMT, G550, Z275, meter rate</t>
  </si>
  <si>
    <t>50112-RCL-006</t>
  </si>
  <si>
    <t>External Cladding | Panel Rib 0.42 BMT, 2750mm - 850mm</t>
  </si>
  <si>
    <t>50113-WCC-001</t>
  </si>
  <si>
    <t>Corner Flashing, 2750mm</t>
  </si>
  <si>
    <t>Flashing | Window Head Flashing, 800mm</t>
  </si>
  <si>
    <t>Flashing | Window Head Flashing, 950mm</t>
  </si>
  <si>
    <t>Flashing | Window Sill Flashing, 800mm</t>
  </si>
  <si>
    <t>Flashing | Door Head Flashing, 1000mm</t>
  </si>
  <si>
    <t>Flashing | Door Side Flashing, 2200mm</t>
  </si>
  <si>
    <t>Equal PEX Elbow 15 x 15mm</t>
  </si>
  <si>
    <t>Equal PEX Elbow 25 x 25mm</t>
  </si>
  <si>
    <t>50125-BLA-001</t>
  </si>
  <si>
    <t>Laundry Assembly 8" Right Angle</t>
  </si>
  <si>
    <t xml:space="preserve">18W LED Oyster Type/Round Light Fitting, 6500K White </t>
  </si>
  <si>
    <t xml:space="preserve">light switch 1-gang </t>
  </si>
  <si>
    <t>1.5mm2 Twin Active/Switch Cable, pvc/pvc, TPS</t>
    <phoneticPr fontId="0" type="noConversion"/>
  </si>
  <si>
    <t>50129-KSS-007</t>
  </si>
  <si>
    <t>FFE | Single Laundry Sink-w/ plug &amp; Waste</t>
  </si>
  <si>
    <t>50129-TSL-001</t>
  </si>
  <si>
    <t>FFE | Laundry tap mixer</t>
  </si>
  <si>
    <t>50129-TSL-002</t>
  </si>
  <si>
    <t>FFE |Washing Machine 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</si>
</sst>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&quot;US$&quot;#,##0.00_);[Red]\(&quot;US$&quot;#,##0.00\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name val="Calibri"/>
      <family val="2"/>
    </font>
    <font>
      <b/>
      <u/>
      <sz val="2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0" borderId="0" xfId="2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left" vertical="center" inden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left" vertical="center" indent="1"/>
    </xf>
    <xf numFmtId="4" fontId="9" fillId="0" borderId="2" xfId="3" applyNumberFormat="1" applyFont="1" applyBorder="1" applyAlignment="1">
      <alignment horizontal="left" vertical="center" indent="1"/>
    </xf>
    <xf numFmtId="4" fontId="9" fillId="5" borderId="1" xfId="3" applyNumberFormat="1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/>
    </xf>
    <xf numFmtId="4" fontId="9" fillId="5" borderId="1" xfId="0" applyNumberFormat="1" applyFont="1" applyFill="1" applyBorder="1" applyAlignment="1">
      <alignment horizontal="left" vertical="center" indent="1"/>
    </xf>
    <xf numFmtId="4" fontId="9" fillId="0" borderId="1" xfId="0" applyNumberFormat="1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indent="1"/>
    </xf>
    <xf numFmtId="3" fontId="9" fillId="0" borderId="1" xfId="4" applyNumberFormat="1" applyFont="1" applyBorder="1" applyAlignment="1">
      <alignment horizontal="center" vertical="center"/>
    </xf>
    <xf numFmtId="3" fontId="9" fillId="0" borderId="1" xfId="4" applyNumberFormat="1" applyFont="1" applyBorder="1" applyAlignment="1">
      <alignment horizontal="center" vertical="center" wrapText="1"/>
    </xf>
    <xf numFmtId="3" fontId="9" fillId="0" borderId="1" xfId="4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left" vertical="center"/>
    </xf>
    <xf numFmtId="4" fontId="8" fillId="2" borderId="1" xfId="4" applyNumberFormat="1" applyFont="1" applyFill="1" applyBorder="1" applyAlignment="1">
      <alignment horizontal="left" vertical="center"/>
    </xf>
    <xf numFmtId="4" fontId="8" fillId="2" borderId="1" xfId="4" applyNumberFormat="1" applyFont="1" applyFill="1" applyBorder="1" applyAlignment="1">
      <alignment vertical="center"/>
    </xf>
    <xf numFmtId="0" fontId="9" fillId="0" borderId="1" xfId="0" applyFont="1" applyBorder="1" applyAlignment="1">
      <alignment horizontal="left" indent="1"/>
    </xf>
    <xf numFmtId="4" fontId="9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64" fontId="2" fillId="0" borderId="0" xfId="0" applyNumberFormat="1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5" fillId="0" borderId="0" xfId="4" applyFont="1" applyAlignment="1" applyProtection="1">
      <alignment horizontal="center" vertical="center"/>
    </xf>
    <xf numFmtId="0" fontId="10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43" fontId="5" fillId="6" borderId="0" xfId="4" applyFont="1" applyFill="1" applyAlignment="1" applyProtection="1">
      <alignment horizontal="center" vertical="center"/>
    </xf>
    <xf numFmtId="43" fontId="10" fillId="0" borderId="0" xfId="4" applyFont="1" applyAlignment="1" applyProtection="1">
      <alignment horizontal="center" vertical="center"/>
    </xf>
    <xf numFmtId="43" fontId="10" fillId="0" borderId="0" xfId="4" applyFont="1" applyAlignment="1" applyProtection="1">
      <alignment vertical="center"/>
    </xf>
    <xf numFmtId="0" fontId="10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43" fontId="10" fillId="0" borderId="0" xfId="4" applyFont="1" applyAlignment="1">
      <alignment horizontal="center" vertical="center"/>
    </xf>
    <xf numFmtId="43" fontId="5" fillId="0" borderId="0" xfId="4" applyFont="1" applyAlignment="1">
      <alignment horizontal="center" vertical="center"/>
    </xf>
    <xf numFmtId="43" fontId="10" fillId="7" borderId="0" xfId="4" applyFont="1" applyFill="1" applyAlignment="1">
      <alignment horizontal="center" vertical="center"/>
    </xf>
    <xf numFmtId="43" fontId="10" fillId="0" borderId="0" xfId="4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4" fillId="0" borderId="0" xfId="5" applyAlignment="1">
      <alignment vertical="center"/>
    </xf>
    <xf numFmtId="0" fontId="10" fillId="0" borderId="0" xfId="0" quotePrefix="1" applyFont="1" applyAlignment="1">
      <alignment vertical="center"/>
    </xf>
    <xf numFmtId="4" fontId="8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left" vertical="center" indent="2"/>
    </xf>
    <xf numFmtId="4" fontId="9" fillId="0" borderId="1" xfId="0" applyNumberFormat="1" applyFont="1" applyBorder="1" applyAlignment="1">
      <alignment horizontal="left" vertical="center" indent="3"/>
    </xf>
    <xf numFmtId="4" fontId="9" fillId="6" borderId="1" xfId="0" applyNumberFormat="1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4" fontId="9" fillId="6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indent="1"/>
    </xf>
    <xf numFmtId="0" fontId="6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18">
    <cellStyle name="Comma" xfId="4" builtinId="3"/>
    <cellStyle name="Comma 2" xfId="9" xr:uid="{00000000-0005-0000-0000-000001000000}"/>
    <cellStyle name="Comma 2 2" xfId="15" xr:uid="{AF91E4B0-3670-46FC-9E71-DAFEBA40FBAC}"/>
    <cellStyle name="Comma 3" xfId="11" xr:uid="{00000000-0005-0000-0000-000002000000}"/>
    <cellStyle name="Comma 3 2" xfId="16" xr:uid="{F69747F4-E5A0-44B7-B14F-0E898C0A20D2}"/>
    <cellStyle name="Comma 4" xfId="14" xr:uid="{66E5AB42-487E-4672-AED8-8D68C2CE5BC2}"/>
    <cellStyle name="Hyperlink" xfId="5" builtinId="8"/>
    <cellStyle name="Hyperlink 2 3" xfId="7" xr:uid="{00000000-0005-0000-0000-000004000000}"/>
    <cellStyle name="Normal" xfId="0" builtinId="0"/>
    <cellStyle name="Normal 14 2" xfId="1" xr:uid="{00000000-0005-0000-0000-000006000000}"/>
    <cellStyle name="Normal 16" xfId="8" xr:uid="{00000000-0005-0000-0000-000007000000}"/>
    <cellStyle name="Normal 2" xfId="2" xr:uid="{00000000-0005-0000-0000-000008000000}"/>
    <cellStyle name="Normal 2 2" xfId="6" xr:uid="{00000000-0005-0000-0000-000009000000}"/>
    <cellStyle name="Normal 2 2 2" xfId="17" xr:uid="{E9B26A1E-D355-4AAB-B6CA-2CDFF628C0F6}"/>
    <cellStyle name="Normal 3" xfId="3" xr:uid="{00000000-0005-0000-0000-00000A000000}"/>
    <cellStyle name="Normal 4" xfId="13" xr:uid="{00000000-0005-0000-0000-00000B000000}"/>
    <cellStyle name="Percent 2" xfId="10" xr:uid="{00000000-0005-0000-0000-00000D000000}"/>
    <cellStyle name="Percent 3" xfId="12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1</xdr:col>
      <xdr:colOff>758825</xdr:colOff>
      <xdr:row>2</xdr:row>
      <xdr:rowOff>155755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D0977-038C-4E58-A9A0-DD60EECBB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1958975" cy="81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RHODESPNG.COM" TargetMode="External"/><Relationship Id="rId7" Type="http://schemas.openxmlformats.org/officeDocument/2006/relationships/hyperlink" Target="mailto:sales4@RHODESPNG.COM" TargetMode="External"/><Relationship Id="rId2" Type="http://schemas.openxmlformats.org/officeDocument/2006/relationships/hyperlink" Target="mailto:Estimator@RHODESPNG.COM" TargetMode="External"/><Relationship Id="rId1" Type="http://schemas.openxmlformats.org/officeDocument/2006/relationships/hyperlink" Target="mailto:estimating@RHODESPNG.COM" TargetMode="External"/><Relationship Id="rId6" Type="http://schemas.openxmlformats.org/officeDocument/2006/relationships/hyperlink" Target="mailto:Sales3@RHODESPNG.COM" TargetMode="External"/><Relationship Id="rId5" Type="http://schemas.openxmlformats.org/officeDocument/2006/relationships/hyperlink" Target="mailto:sales2@RHODESPNG.COM" TargetMode="External"/><Relationship Id="rId4" Type="http://schemas.openxmlformats.org/officeDocument/2006/relationships/hyperlink" Target="mailto:sales_manager@RHODESPNG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771-9C48-4653-A324-EED67AB10A78}">
  <dimension ref="A1:U55"/>
  <sheetViews>
    <sheetView workbookViewId="0">
      <selection activeCell="A14" sqref="A14"/>
    </sheetView>
  </sheetViews>
  <sheetFormatPr defaultColWidth="9.140625" defaultRowHeight="15.6"/>
  <cols>
    <col min="1" max="1" width="109" style="47" customWidth="1"/>
    <col min="2" max="2" width="21.140625" style="50" customWidth="1"/>
    <col min="3" max="3" width="43.5703125" style="52" customWidth="1"/>
    <col min="4" max="4" width="15.85546875" style="55" customWidth="1"/>
    <col min="5" max="5" width="158.7109375" style="47" customWidth="1"/>
    <col min="6" max="6" width="20.28515625" style="51" customWidth="1"/>
    <col min="7" max="7" width="41.5703125" style="47" customWidth="1"/>
    <col min="8" max="8" width="17.7109375" style="52" customWidth="1"/>
    <col min="9" max="9" width="34.28515625" style="47" customWidth="1"/>
    <col min="10" max="10" width="15" style="58" customWidth="1"/>
    <col min="11" max="11" width="39.7109375" style="54" customWidth="1"/>
    <col min="12" max="12" width="17.28515625" style="47" customWidth="1"/>
    <col min="13" max="13" width="9.140625" style="47"/>
    <col min="14" max="14" width="28" style="47" customWidth="1"/>
    <col min="15" max="15" width="37.140625" style="47" customWidth="1"/>
    <col min="16" max="16" width="24.42578125" style="47" customWidth="1"/>
    <col min="17" max="17" width="48.85546875" style="47" customWidth="1"/>
    <col min="18" max="19" width="16.7109375" style="47" customWidth="1"/>
    <col min="20" max="20" width="16.5703125" style="47" customWidth="1"/>
    <col min="21" max="21" width="15.140625" style="47" customWidth="1"/>
    <col min="22" max="16384" width="9.140625" style="47"/>
  </cols>
  <sheetData>
    <row r="1" spans="1:21" ht="19.5" customHeight="1">
      <c r="A1" s="45" t="s">
        <v>0</v>
      </c>
      <c r="B1" s="46" t="s">
        <v>1</v>
      </c>
      <c r="C1" s="45" t="s">
        <v>2</v>
      </c>
      <c r="D1" s="56" t="s">
        <v>1</v>
      </c>
      <c r="E1" s="45" t="s">
        <v>3</v>
      </c>
      <c r="F1" s="46" t="s">
        <v>1</v>
      </c>
      <c r="G1" s="45" t="s">
        <v>4</v>
      </c>
      <c r="H1" s="56" t="s">
        <v>1</v>
      </c>
      <c r="I1" s="45" t="s">
        <v>5</v>
      </c>
      <c r="J1" s="56" t="s">
        <v>1</v>
      </c>
      <c r="K1" s="45" t="s">
        <v>6</v>
      </c>
      <c r="L1" s="45" t="s">
        <v>1</v>
      </c>
      <c r="N1" s="47" t="s">
        <v>7</v>
      </c>
      <c r="O1" s="47" t="s">
        <v>8</v>
      </c>
      <c r="P1" s="47" t="s">
        <v>9</v>
      </c>
      <c r="Q1" s="47" t="s">
        <v>10</v>
      </c>
      <c r="R1" s="58" t="e">
        <f>#REF!*0.7</f>
        <v>#REF!</v>
      </c>
      <c r="S1" s="59" t="e">
        <f>#REF!-Sheet1!R1</f>
        <v>#REF!</v>
      </c>
    </row>
    <row r="2" spans="1:21" ht="18" customHeight="1">
      <c r="A2" s="48" t="s">
        <v>11</v>
      </c>
      <c r="B2" s="49" t="s">
        <v>12</v>
      </c>
      <c r="C2" s="53" t="s">
        <v>13</v>
      </c>
      <c r="D2" s="57"/>
      <c r="E2" s="48" t="s">
        <v>14</v>
      </c>
      <c r="F2" s="49" t="s">
        <v>15</v>
      </c>
      <c r="N2" s="47" t="s">
        <v>16</v>
      </c>
      <c r="O2" s="47" t="s">
        <v>17</v>
      </c>
      <c r="P2" s="47" t="s">
        <v>18</v>
      </c>
      <c r="Q2" s="47" t="s">
        <v>19</v>
      </c>
      <c r="R2" s="58" t="e">
        <f>#REF!*0.5</f>
        <v>#REF!</v>
      </c>
      <c r="S2" s="59" t="e">
        <f>#REF!-Sheet1!R2</f>
        <v>#REF!</v>
      </c>
    </row>
    <row r="3" spans="1:21">
      <c r="A3" s="47" t="s">
        <v>20</v>
      </c>
      <c r="B3" s="50">
        <v>131778.20000000001</v>
      </c>
      <c r="C3" s="54" t="s">
        <v>21</v>
      </c>
      <c r="D3" s="55">
        <v>4501</v>
      </c>
      <c r="E3" s="47" t="s">
        <v>22</v>
      </c>
      <c r="F3" s="51">
        <v>96216.534948000015</v>
      </c>
      <c r="G3" s="47" t="s">
        <v>21</v>
      </c>
      <c r="H3" s="50">
        <v>4501</v>
      </c>
      <c r="I3" s="47" t="s">
        <v>23</v>
      </c>
      <c r="J3" s="58">
        <v>9600</v>
      </c>
      <c r="K3" s="47" t="s">
        <v>24</v>
      </c>
      <c r="L3" s="51">
        <v>3767.9879999999994</v>
      </c>
    </row>
    <row r="4" spans="1:21">
      <c r="A4" s="47" t="s">
        <v>25</v>
      </c>
      <c r="B4" s="50">
        <v>128704.49</v>
      </c>
      <c r="C4" s="54" t="s">
        <v>26</v>
      </c>
      <c r="D4" s="55">
        <v>5195</v>
      </c>
      <c r="E4" s="47" t="s">
        <v>27</v>
      </c>
      <c r="F4" s="51">
        <v>93972.296328600001</v>
      </c>
      <c r="G4" s="47" t="s">
        <v>26</v>
      </c>
      <c r="H4" s="50">
        <v>5195</v>
      </c>
      <c r="I4" s="47" t="s">
        <v>23</v>
      </c>
      <c r="J4" s="58">
        <v>9600</v>
      </c>
      <c r="K4" s="47" t="s">
        <v>28</v>
      </c>
      <c r="L4" s="50">
        <v>3767.9879999999994</v>
      </c>
    </row>
    <row r="5" spans="1:21">
      <c r="A5" s="47" t="s">
        <v>29</v>
      </c>
      <c r="B5" s="50">
        <v>162130.93</v>
      </c>
      <c r="C5" s="54" t="s">
        <v>30</v>
      </c>
      <c r="D5" s="55">
        <v>6677</v>
      </c>
      <c r="E5" s="47" t="s">
        <v>31</v>
      </c>
      <c r="F5" s="51">
        <v>118378.27723019999</v>
      </c>
      <c r="G5" s="47" t="s">
        <v>30</v>
      </c>
      <c r="H5" s="50">
        <v>6677</v>
      </c>
      <c r="I5" s="47" t="s">
        <v>23</v>
      </c>
      <c r="J5" s="58">
        <v>9600</v>
      </c>
      <c r="K5" s="47" t="s">
        <v>32</v>
      </c>
      <c r="L5" s="50">
        <v>3767.9879999999994</v>
      </c>
    </row>
    <row r="6" spans="1:21">
      <c r="A6" s="47" t="s">
        <v>33</v>
      </c>
      <c r="B6" s="50">
        <v>170480.95</v>
      </c>
      <c r="C6" s="54" t="s">
        <v>34</v>
      </c>
      <c r="D6" s="55">
        <v>6868</v>
      </c>
      <c r="E6" s="47" t="s">
        <v>35</v>
      </c>
      <c r="F6" s="51">
        <v>124474.960833</v>
      </c>
      <c r="G6" s="47" t="s">
        <v>34</v>
      </c>
      <c r="H6" s="50">
        <v>6868</v>
      </c>
      <c r="I6" s="47" t="s">
        <v>23</v>
      </c>
      <c r="J6" s="58">
        <v>9600</v>
      </c>
      <c r="K6" s="47" t="s">
        <v>36</v>
      </c>
      <c r="L6" s="50">
        <v>3767.9879999999994</v>
      </c>
    </row>
    <row r="7" spans="1:21">
      <c r="A7" s="47" t="s">
        <v>37</v>
      </c>
      <c r="B7" s="50">
        <v>210103.58</v>
      </c>
      <c r="C7" s="54" t="s">
        <v>38</v>
      </c>
      <c r="D7" s="55">
        <v>7302</v>
      </c>
      <c r="E7" s="47" t="s">
        <v>39</v>
      </c>
      <c r="F7" s="51">
        <v>153405.0279012</v>
      </c>
      <c r="G7" s="47" t="s">
        <v>38</v>
      </c>
      <c r="H7" s="50">
        <v>7683</v>
      </c>
      <c r="I7" s="47" t="s">
        <v>23</v>
      </c>
      <c r="J7" s="58">
        <v>9600</v>
      </c>
      <c r="K7" s="47" t="s">
        <v>40</v>
      </c>
      <c r="L7" s="50">
        <v>4970.2680000000009</v>
      </c>
      <c r="R7" s="47" t="s">
        <v>41</v>
      </c>
      <c r="S7" s="60" t="s">
        <v>42</v>
      </c>
      <c r="T7" s="61" t="s">
        <v>43</v>
      </c>
    </row>
    <row r="8" spans="1:21">
      <c r="A8" s="47" t="s">
        <v>44</v>
      </c>
      <c r="B8" s="50">
        <v>206023.21</v>
      </c>
      <c r="C8" s="54" t="s">
        <v>45</v>
      </c>
      <c r="D8" s="55">
        <v>7302</v>
      </c>
      <c r="E8" s="47" t="s">
        <v>46</v>
      </c>
      <c r="F8" s="51">
        <v>150425.78654939999</v>
      </c>
      <c r="G8" s="47" t="s">
        <v>45</v>
      </c>
      <c r="H8" s="50">
        <v>7683</v>
      </c>
      <c r="I8" s="47" t="s">
        <v>23</v>
      </c>
      <c r="J8" s="58">
        <v>9600</v>
      </c>
      <c r="K8" s="47" t="s">
        <v>47</v>
      </c>
      <c r="L8" s="50">
        <v>4970.2680000000009</v>
      </c>
      <c r="R8" s="47" t="s">
        <v>48</v>
      </c>
      <c r="S8" s="60" t="s">
        <v>49</v>
      </c>
      <c r="T8" s="61" t="s">
        <v>50</v>
      </c>
      <c r="U8" s="47" t="s">
        <v>51</v>
      </c>
    </row>
    <row r="9" spans="1:21">
      <c r="A9" s="47" t="s">
        <v>52</v>
      </c>
      <c r="B9" s="50">
        <v>251264.33</v>
      </c>
      <c r="C9" s="54" t="s">
        <v>53</v>
      </c>
      <c r="D9" s="55">
        <v>9075</v>
      </c>
      <c r="E9" s="47" t="s">
        <v>54</v>
      </c>
      <c r="F9" s="51">
        <v>183458.13790619999</v>
      </c>
      <c r="G9" s="47" t="s">
        <v>53</v>
      </c>
      <c r="H9" s="50">
        <v>9075</v>
      </c>
      <c r="I9" s="47" t="s">
        <v>23</v>
      </c>
      <c r="J9" s="58">
        <v>9600</v>
      </c>
      <c r="K9" s="47" t="s">
        <v>55</v>
      </c>
      <c r="L9" s="50">
        <v>5013.4680000000008</v>
      </c>
      <c r="R9" s="47" t="s">
        <v>56</v>
      </c>
      <c r="S9" s="60" t="s">
        <v>57</v>
      </c>
      <c r="T9" s="61" t="s">
        <v>58</v>
      </c>
      <c r="U9" s="47" t="s">
        <v>59</v>
      </c>
    </row>
    <row r="10" spans="1:21" ht="18.75" customHeight="1">
      <c r="A10" s="48" t="s">
        <v>60</v>
      </c>
      <c r="B10" s="49" t="s">
        <v>61</v>
      </c>
      <c r="C10" s="53" t="s">
        <v>62</v>
      </c>
      <c r="D10" s="57"/>
      <c r="E10" s="48" t="s">
        <v>63</v>
      </c>
      <c r="F10" s="49" t="s">
        <v>15</v>
      </c>
      <c r="R10" s="47" t="s">
        <v>64</v>
      </c>
      <c r="S10" s="60" t="s">
        <v>65</v>
      </c>
      <c r="T10" s="61" t="s">
        <v>66</v>
      </c>
      <c r="U10" s="47" t="s">
        <v>67</v>
      </c>
    </row>
    <row r="11" spans="1:21">
      <c r="A11" s="47" t="s">
        <v>68</v>
      </c>
      <c r="B11" s="50">
        <v>105412.99</v>
      </c>
      <c r="C11" s="47" t="s">
        <v>69</v>
      </c>
      <c r="D11" s="55">
        <v>3714</v>
      </c>
      <c r="E11" s="47" t="s">
        <v>70</v>
      </c>
      <c r="F11" s="51">
        <f t="shared" ref="F11:F14" si="0">B11*0.73014</f>
        <v>76966.240518600011</v>
      </c>
      <c r="G11" s="47" t="s">
        <v>69</v>
      </c>
      <c r="H11" s="55">
        <v>3714</v>
      </c>
      <c r="I11" s="47" t="s">
        <v>71</v>
      </c>
      <c r="J11" s="47" t="s">
        <v>71</v>
      </c>
      <c r="K11" s="47" t="s">
        <v>72</v>
      </c>
      <c r="L11" s="51">
        <v>3767.9879999999998</v>
      </c>
      <c r="R11" s="47" t="s">
        <v>73</v>
      </c>
      <c r="S11" s="60" t="s">
        <v>74</v>
      </c>
      <c r="T11" s="61" t="s">
        <v>75</v>
      </c>
      <c r="U11" s="47" t="s">
        <v>76</v>
      </c>
    </row>
    <row r="12" spans="1:21">
      <c r="A12" s="47" t="s">
        <v>77</v>
      </c>
      <c r="B12" s="50">
        <v>123145.27</v>
      </c>
      <c r="C12" s="54" t="s">
        <v>78</v>
      </c>
      <c r="D12" s="55">
        <v>4501</v>
      </c>
      <c r="E12" s="47" t="s">
        <v>79</v>
      </c>
      <c r="F12" s="51">
        <f t="shared" si="0"/>
        <v>89913.287437799998</v>
      </c>
      <c r="G12" s="47" t="s">
        <v>78</v>
      </c>
      <c r="H12" s="50">
        <v>4501</v>
      </c>
      <c r="I12" s="47" t="s">
        <v>71</v>
      </c>
      <c r="J12" s="47" t="s">
        <v>71</v>
      </c>
      <c r="K12" s="47" t="s">
        <v>80</v>
      </c>
      <c r="L12" s="51">
        <v>3767.9879999999994</v>
      </c>
      <c r="R12" s="47" t="s">
        <v>81</v>
      </c>
      <c r="S12" s="60" t="s">
        <v>82</v>
      </c>
      <c r="T12" s="61" t="s">
        <v>83</v>
      </c>
      <c r="U12" s="47" t="s">
        <v>84</v>
      </c>
    </row>
    <row r="13" spans="1:21">
      <c r="A13" s="47" t="s">
        <v>85</v>
      </c>
      <c r="B13" s="50">
        <v>126138.19</v>
      </c>
      <c r="C13" s="54" t="s">
        <v>86</v>
      </c>
      <c r="D13" s="55">
        <v>5195</v>
      </c>
      <c r="E13" s="47" t="s">
        <v>87</v>
      </c>
      <c r="F13" s="51">
        <f t="shared" si="0"/>
        <v>92098.538046600006</v>
      </c>
      <c r="G13" s="47" t="s">
        <v>86</v>
      </c>
      <c r="H13" s="50">
        <v>5195</v>
      </c>
      <c r="I13" s="47" t="s">
        <v>71</v>
      </c>
      <c r="J13" s="47" t="s">
        <v>71</v>
      </c>
      <c r="K13" s="47" t="s">
        <v>88</v>
      </c>
      <c r="L13" s="50">
        <v>3767.9879999999994</v>
      </c>
      <c r="R13" s="47" t="s">
        <v>89</v>
      </c>
      <c r="S13" s="60" t="s">
        <v>90</v>
      </c>
      <c r="T13" s="61" t="s">
        <v>91</v>
      </c>
      <c r="U13" s="47" t="s">
        <v>92</v>
      </c>
    </row>
    <row r="14" spans="1:21">
      <c r="A14" s="47" t="s">
        <v>93</v>
      </c>
      <c r="B14" s="50">
        <v>157323.01</v>
      </c>
      <c r="C14" s="54" t="s">
        <v>94</v>
      </c>
      <c r="D14" s="55">
        <v>6677</v>
      </c>
      <c r="E14" s="47" t="s">
        <v>95</v>
      </c>
      <c r="F14" s="51">
        <f t="shared" si="0"/>
        <v>114867.82252140001</v>
      </c>
      <c r="G14" s="47" t="s">
        <v>94</v>
      </c>
      <c r="H14" s="50">
        <v>6677</v>
      </c>
      <c r="I14" s="47" t="s">
        <v>71</v>
      </c>
      <c r="J14" s="47" t="s">
        <v>71</v>
      </c>
      <c r="K14" s="47" t="s">
        <v>96</v>
      </c>
      <c r="L14" s="50">
        <v>3767.9879999999994</v>
      </c>
    </row>
    <row r="15" spans="1:21">
      <c r="A15" s="47" t="s">
        <v>97</v>
      </c>
      <c r="B15" s="50">
        <v>162160.41</v>
      </c>
      <c r="C15" s="54" t="s">
        <v>98</v>
      </c>
      <c r="D15" s="55">
        <v>6868</v>
      </c>
      <c r="E15" s="47" t="s">
        <v>99</v>
      </c>
      <c r="F15" s="51">
        <f>B15*0.73014</f>
        <v>118399.80175740001</v>
      </c>
      <c r="G15" s="47" t="s">
        <v>98</v>
      </c>
      <c r="H15" s="50">
        <v>6868</v>
      </c>
      <c r="I15" s="47" t="s">
        <v>71</v>
      </c>
      <c r="J15" s="47" t="s">
        <v>71</v>
      </c>
      <c r="K15" s="47" t="s">
        <v>100</v>
      </c>
      <c r="L15" s="50">
        <v>3767.9879999999994</v>
      </c>
    </row>
    <row r="16" spans="1:21">
      <c r="A16" s="47" t="s">
        <v>101</v>
      </c>
      <c r="B16" s="50">
        <v>201872.68</v>
      </c>
      <c r="C16" s="54" t="s">
        <v>102</v>
      </c>
      <c r="D16" s="55">
        <v>7302</v>
      </c>
      <c r="E16" s="47" t="s">
        <v>103</v>
      </c>
      <c r="F16" s="51">
        <f>B16*0.73014</f>
        <v>147395.31857519998</v>
      </c>
      <c r="G16" s="47" t="s">
        <v>102</v>
      </c>
      <c r="H16" s="50">
        <v>7302</v>
      </c>
      <c r="I16" s="47" t="s">
        <v>71</v>
      </c>
      <c r="J16" s="47" t="s">
        <v>71</v>
      </c>
      <c r="K16" s="47" t="s">
        <v>104</v>
      </c>
      <c r="L16" s="50">
        <v>4970.2680000000009</v>
      </c>
    </row>
    <row r="17" spans="1:12">
      <c r="A17" s="47" t="s">
        <v>105</v>
      </c>
      <c r="B17" s="50">
        <v>196520.34</v>
      </c>
      <c r="C17" s="54" t="s">
        <v>106</v>
      </c>
      <c r="D17" s="55">
        <v>7302</v>
      </c>
      <c r="E17" s="47" t="s">
        <v>107</v>
      </c>
      <c r="F17" s="51">
        <f>B17*0.73014</f>
        <v>143487.36104759999</v>
      </c>
      <c r="G17" s="47" t="s">
        <v>106</v>
      </c>
      <c r="H17" s="50">
        <v>7302</v>
      </c>
      <c r="I17" s="47" t="s">
        <v>71</v>
      </c>
      <c r="J17" s="47" t="s">
        <v>71</v>
      </c>
      <c r="K17" s="47" t="s">
        <v>108</v>
      </c>
      <c r="L17" s="50">
        <v>4970.2680000000009</v>
      </c>
    </row>
    <row r="18" spans="1:12">
      <c r="A18" s="47" t="s">
        <v>109</v>
      </c>
      <c r="B18" s="50">
        <v>237009.67</v>
      </c>
      <c r="C18" s="54" t="s">
        <v>110</v>
      </c>
      <c r="D18" s="55">
        <v>9075</v>
      </c>
      <c r="E18" s="47" t="s">
        <v>111</v>
      </c>
      <c r="F18" s="51">
        <f>B18*0.73014</f>
        <v>173050.24045380001</v>
      </c>
      <c r="G18" s="47" t="s">
        <v>110</v>
      </c>
      <c r="H18" s="50">
        <v>9075</v>
      </c>
      <c r="I18" s="47" t="s">
        <v>71</v>
      </c>
      <c r="J18" s="47" t="s">
        <v>71</v>
      </c>
      <c r="K18" s="47" t="s">
        <v>112</v>
      </c>
      <c r="L18" s="50">
        <v>5013.4680000000008</v>
      </c>
    </row>
    <row r="19" spans="1:12">
      <c r="A19" s="48" t="s">
        <v>113</v>
      </c>
      <c r="B19" s="49" t="s">
        <v>114</v>
      </c>
      <c r="C19" s="53" t="s">
        <v>115</v>
      </c>
      <c r="D19" s="57"/>
      <c r="E19" s="48" t="s">
        <v>116</v>
      </c>
      <c r="F19" s="49" t="s">
        <v>15</v>
      </c>
    </row>
    <row r="20" spans="1:12">
      <c r="A20" s="47" t="s">
        <v>117</v>
      </c>
      <c r="B20" s="50">
        <v>101511.33</v>
      </c>
      <c r="C20" s="54" t="s">
        <v>118</v>
      </c>
      <c r="D20" s="55" t="s">
        <v>119</v>
      </c>
      <c r="E20" s="47" t="s">
        <v>120</v>
      </c>
      <c r="F20" s="51">
        <f>B20*0.73014</f>
        <v>74117.48248620001</v>
      </c>
      <c r="G20" s="47" t="s">
        <v>118</v>
      </c>
      <c r="H20" s="55">
        <v>1952</v>
      </c>
      <c r="I20" s="47" t="s">
        <v>23</v>
      </c>
      <c r="J20" s="58">
        <v>9600</v>
      </c>
      <c r="K20" s="54" t="s">
        <v>71</v>
      </c>
      <c r="L20" s="54" t="s">
        <v>71</v>
      </c>
    </row>
    <row r="21" spans="1:12">
      <c r="A21" s="47" t="s">
        <v>121</v>
      </c>
      <c r="B21" s="50">
        <v>101511.33</v>
      </c>
      <c r="C21" s="54" t="s">
        <v>122</v>
      </c>
      <c r="D21" s="55" t="s">
        <v>119</v>
      </c>
      <c r="E21" s="47" t="s">
        <v>123</v>
      </c>
      <c r="F21" s="51">
        <f t="shared" ref="F21:F25" si="1">B21*0.73014</f>
        <v>74117.48248620001</v>
      </c>
      <c r="G21" s="47" t="s">
        <v>122</v>
      </c>
      <c r="H21" s="55">
        <v>1952</v>
      </c>
      <c r="I21" s="47" t="s">
        <v>23</v>
      </c>
      <c r="J21" s="58">
        <v>9600</v>
      </c>
      <c r="K21" s="54" t="s">
        <v>71</v>
      </c>
      <c r="L21" s="54" t="s">
        <v>71</v>
      </c>
    </row>
    <row r="22" spans="1:12">
      <c r="A22" s="47" t="s">
        <v>124</v>
      </c>
      <c r="B22" s="50">
        <v>127477.95</v>
      </c>
      <c r="C22" s="54" t="s">
        <v>125</v>
      </c>
      <c r="D22" s="55" t="s">
        <v>119</v>
      </c>
      <c r="E22" s="47" t="s">
        <v>126</v>
      </c>
      <c r="F22" s="51">
        <f t="shared" si="1"/>
        <v>93076.750413000002</v>
      </c>
      <c r="G22" s="47" t="s">
        <v>125</v>
      </c>
      <c r="H22" s="55">
        <v>3222</v>
      </c>
      <c r="I22" s="47" t="s">
        <v>23</v>
      </c>
      <c r="J22" s="58">
        <v>9600</v>
      </c>
      <c r="K22" s="54" t="s">
        <v>71</v>
      </c>
      <c r="L22" s="54" t="s">
        <v>71</v>
      </c>
    </row>
    <row r="23" spans="1:12">
      <c r="A23" s="47" t="s">
        <v>127</v>
      </c>
      <c r="B23" s="50">
        <v>131691.07</v>
      </c>
      <c r="C23" s="54" t="s">
        <v>128</v>
      </c>
      <c r="D23" s="55" t="s">
        <v>119</v>
      </c>
      <c r="E23" s="47" t="s">
        <v>129</v>
      </c>
      <c r="F23" s="51">
        <f t="shared" si="1"/>
        <v>96152.917849800011</v>
      </c>
      <c r="G23" s="47" t="s">
        <v>128</v>
      </c>
      <c r="H23" s="55">
        <v>3222</v>
      </c>
      <c r="I23" s="47" t="s">
        <v>23</v>
      </c>
      <c r="J23" s="58">
        <v>9600</v>
      </c>
      <c r="K23" s="54" t="s">
        <v>71</v>
      </c>
      <c r="L23" s="54" t="s">
        <v>71</v>
      </c>
    </row>
    <row r="24" spans="1:12">
      <c r="A24" s="47" t="s">
        <v>130</v>
      </c>
      <c r="B24" s="50">
        <v>159579.41</v>
      </c>
      <c r="C24" s="54" t="s">
        <v>131</v>
      </c>
      <c r="D24" s="55" t="s">
        <v>119</v>
      </c>
      <c r="E24" s="47" t="s">
        <v>132</v>
      </c>
      <c r="F24" s="51">
        <f t="shared" si="1"/>
        <v>116515.3104174</v>
      </c>
      <c r="G24" s="47" t="s">
        <v>131</v>
      </c>
      <c r="H24" s="55">
        <v>3412</v>
      </c>
      <c r="I24" s="47" t="s">
        <v>23</v>
      </c>
      <c r="J24" s="58">
        <v>9600</v>
      </c>
      <c r="K24" s="54" t="s">
        <v>71</v>
      </c>
      <c r="L24" s="54" t="s">
        <v>71</v>
      </c>
    </row>
    <row r="25" spans="1:12">
      <c r="A25" s="47" t="s">
        <v>133</v>
      </c>
      <c r="B25" s="50">
        <v>163566.92000000001</v>
      </c>
      <c r="C25" s="54" t="s">
        <v>134</v>
      </c>
      <c r="D25" s="55" t="s">
        <v>119</v>
      </c>
      <c r="E25" s="47" t="s">
        <v>135</v>
      </c>
      <c r="F25" s="51">
        <f t="shared" si="1"/>
        <v>119426.75096880001</v>
      </c>
      <c r="G25" s="47" t="s">
        <v>134</v>
      </c>
      <c r="H25" s="55">
        <v>3412</v>
      </c>
      <c r="I25" s="47" t="s">
        <v>23</v>
      </c>
      <c r="J25" s="58">
        <v>9600</v>
      </c>
      <c r="K25" s="54" t="s">
        <v>71</v>
      </c>
      <c r="L25" s="54" t="s">
        <v>71</v>
      </c>
    </row>
    <row r="26" spans="1:12">
      <c r="A26" s="47" t="s">
        <v>136</v>
      </c>
      <c r="B26" s="50">
        <v>189170.03</v>
      </c>
      <c r="C26" s="54" t="s">
        <v>137</v>
      </c>
      <c r="D26" s="55" t="s">
        <v>119</v>
      </c>
      <c r="E26" s="47" t="s">
        <v>138</v>
      </c>
      <c r="F26" s="51">
        <f>B26*0.73014</f>
        <v>138120.60570419999</v>
      </c>
      <c r="G26" s="47" t="s">
        <v>137</v>
      </c>
      <c r="H26" s="55">
        <v>3721</v>
      </c>
      <c r="I26" s="47" t="s">
        <v>23</v>
      </c>
      <c r="J26" s="58">
        <v>9600</v>
      </c>
      <c r="K26" s="54" t="s">
        <v>71</v>
      </c>
      <c r="L26" s="54" t="s">
        <v>71</v>
      </c>
    </row>
    <row r="27" spans="1:12">
      <c r="A27" s="48" t="s">
        <v>139</v>
      </c>
      <c r="B27" s="49" t="s">
        <v>140</v>
      </c>
      <c r="C27" s="53" t="s">
        <v>141</v>
      </c>
      <c r="D27" s="57"/>
      <c r="E27" s="48" t="s">
        <v>142</v>
      </c>
      <c r="F27" s="49" t="s">
        <v>15</v>
      </c>
    </row>
    <row r="28" spans="1:12">
      <c r="A28" s="47" t="s">
        <v>143</v>
      </c>
      <c r="B28" s="50">
        <v>68380.789999999994</v>
      </c>
      <c r="C28" s="47" t="s">
        <v>144</v>
      </c>
      <c r="D28" s="55" t="s">
        <v>119</v>
      </c>
      <c r="E28" s="47" t="s">
        <v>145</v>
      </c>
      <c r="F28" s="51">
        <f>B28*0.73014</f>
        <v>49927.550010599996</v>
      </c>
      <c r="G28" s="47" t="s">
        <v>144</v>
      </c>
      <c r="H28" s="55">
        <v>1952</v>
      </c>
      <c r="I28" s="47" t="s">
        <v>71</v>
      </c>
      <c r="J28" s="47" t="s">
        <v>71</v>
      </c>
      <c r="K28" s="54" t="s">
        <v>71</v>
      </c>
      <c r="L28" s="54" t="s">
        <v>71</v>
      </c>
    </row>
    <row r="29" spans="1:12">
      <c r="A29" s="47" t="s">
        <v>146</v>
      </c>
      <c r="B29" s="50">
        <v>82052.639999999999</v>
      </c>
      <c r="C29" s="54" t="s">
        <v>147</v>
      </c>
      <c r="D29" s="55" t="s">
        <v>119</v>
      </c>
      <c r="E29" s="47" t="s">
        <v>148</v>
      </c>
      <c r="F29" s="51">
        <f t="shared" ref="F29:F33" si="2">B29*0.73014</f>
        <v>59909.914569599998</v>
      </c>
      <c r="G29" s="47" t="s">
        <v>147</v>
      </c>
      <c r="H29" s="55">
        <v>1952</v>
      </c>
      <c r="I29" s="47" t="s">
        <v>71</v>
      </c>
      <c r="J29" s="47" t="s">
        <v>71</v>
      </c>
      <c r="K29" s="54" t="s">
        <v>71</v>
      </c>
      <c r="L29" s="54" t="s">
        <v>71</v>
      </c>
    </row>
    <row r="30" spans="1:12">
      <c r="A30" s="47" t="s">
        <v>149</v>
      </c>
      <c r="B30" s="50">
        <v>83231.28</v>
      </c>
      <c r="C30" s="54" t="s">
        <v>150</v>
      </c>
      <c r="D30" s="55" t="s">
        <v>119</v>
      </c>
      <c r="E30" s="47" t="s">
        <v>151</v>
      </c>
      <c r="F30" s="51">
        <f t="shared" si="2"/>
        <v>60770.4867792</v>
      </c>
      <c r="G30" s="47" t="s">
        <v>150</v>
      </c>
      <c r="H30" s="55">
        <v>1952</v>
      </c>
      <c r="I30" s="47" t="s">
        <v>71</v>
      </c>
      <c r="J30" s="47" t="s">
        <v>71</v>
      </c>
      <c r="K30" s="54" t="s">
        <v>71</v>
      </c>
      <c r="L30" s="54" t="s">
        <v>71</v>
      </c>
    </row>
    <row r="31" spans="1:12">
      <c r="A31" s="47" t="s">
        <v>152</v>
      </c>
      <c r="B31" s="50">
        <v>106084.1</v>
      </c>
      <c r="C31" s="54" t="s">
        <v>153</v>
      </c>
      <c r="D31" s="55" t="s">
        <v>119</v>
      </c>
      <c r="E31" s="47" t="s">
        <v>154</v>
      </c>
      <c r="F31" s="51">
        <f t="shared" si="2"/>
        <v>77456.244774000006</v>
      </c>
      <c r="G31" s="47" t="s">
        <v>153</v>
      </c>
      <c r="H31" s="55">
        <v>3222</v>
      </c>
      <c r="I31" s="47" t="s">
        <v>71</v>
      </c>
      <c r="J31" s="47" t="s">
        <v>71</v>
      </c>
      <c r="K31" s="54" t="s">
        <v>71</v>
      </c>
      <c r="L31" s="54" t="s">
        <v>71</v>
      </c>
    </row>
    <row r="32" spans="1:12">
      <c r="A32" s="47" t="s">
        <v>155</v>
      </c>
      <c r="B32" s="50">
        <v>111087.94</v>
      </c>
      <c r="C32" s="54" t="s">
        <v>156</v>
      </c>
      <c r="D32" s="55" t="s">
        <v>119</v>
      </c>
      <c r="E32" s="47" t="s">
        <v>157</v>
      </c>
      <c r="F32" s="51">
        <f t="shared" si="2"/>
        <v>81109.748511600003</v>
      </c>
      <c r="G32" s="47" t="s">
        <v>156</v>
      </c>
      <c r="H32" s="55">
        <v>3222</v>
      </c>
      <c r="I32" s="47" t="s">
        <v>71</v>
      </c>
      <c r="J32" s="47" t="s">
        <v>71</v>
      </c>
      <c r="K32" s="54" t="s">
        <v>71</v>
      </c>
      <c r="L32" s="54" t="s">
        <v>71</v>
      </c>
    </row>
    <row r="33" spans="1:12">
      <c r="A33" s="47" t="s">
        <v>158</v>
      </c>
      <c r="B33" s="50">
        <v>137123.01999999999</v>
      </c>
      <c r="C33" s="54" t="s">
        <v>159</v>
      </c>
      <c r="D33" s="55" t="s">
        <v>119</v>
      </c>
      <c r="E33" s="47" t="s">
        <v>160</v>
      </c>
      <c r="F33" s="51">
        <f t="shared" si="2"/>
        <v>100119.0018228</v>
      </c>
      <c r="G33" s="47" t="s">
        <v>159</v>
      </c>
      <c r="H33" s="55">
        <v>3412</v>
      </c>
      <c r="I33" s="47" t="s">
        <v>71</v>
      </c>
      <c r="J33" s="47" t="s">
        <v>71</v>
      </c>
      <c r="K33" s="54" t="s">
        <v>71</v>
      </c>
      <c r="L33" s="54" t="s">
        <v>71</v>
      </c>
    </row>
    <row r="34" spans="1:12">
      <c r="A34" s="47" t="s">
        <v>161</v>
      </c>
      <c r="B34" s="50">
        <v>138550.66</v>
      </c>
      <c r="C34" s="54" t="s">
        <v>162</v>
      </c>
      <c r="D34" s="55" t="s">
        <v>119</v>
      </c>
      <c r="E34" s="47" t="s">
        <v>163</v>
      </c>
      <c r="F34" s="51">
        <f>B34*0.73014</f>
        <v>101161.37889240001</v>
      </c>
      <c r="G34" s="47" t="s">
        <v>162</v>
      </c>
      <c r="H34" s="55">
        <v>3412</v>
      </c>
      <c r="I34" s="47" t="s">
        <v>71</v>
      </c>
      <c r="J34" s="47" t="s">
        <v>71</v>
      </c>
      <c r="K34" s="54" t="s">
        <v>71</v>
      </c>
      <c r="L34" s="54" t="s">
        <v>71</v>
      </c>
    </row>
    <row r="35" spans="1:12">
      <c r="A35" s="47" t="s">
        <v>164</v>
      </c>
      <c r="B35" s="50">
        <v>169839.71</v>
      </c>
      <c r="C35" s="54" t="s">
        <v>165</v>
      </c>
      <c r="D35" s="55" t="s">
        <v>119</v>
      </c>
      <c r="E35" s="47" t="s">
        <v>166</v>
      </c>
      <c r="F35" s="51">
        <f>B35*0.73014</f>
        <v>124006.76585939999</v>
      </c>
      <c r="G35" s="47" t="s">
        <v>165</v>
      </c>
      <c r="H35" s="55">
        <v>3721</v>
      </c>
      <c r="I35" s="47" t="s">
        <v>71</v>
      </c>
      <c r="J35" s="47" t="s">
        <v>71</v>
      </c>
      <c r="K35" s="54" t="s">
        <v>71</v>
      </c>
      <c r="L35" s="54" t="s">
        <v>71</v>
      </c>
    </row>
    <row r="38" spans="1:12">
      <c r="B38" s="47"/>
      <c r="C38" s="47"/>
    </row>
    <row r="39" spans="1:12">
      <c r="B39" s="47"/>
      <c r="C39" s="47"/>
    </row>
    <row r="40" spans="1:12">
      <c r="B40" s="47"/>
      <c r="C40" s="47"/>
    </row>
    <row r="41" spans="1:12">
      <c r="B41" s="47"/>
      <c r="C41" s="47"/>
    </row>
    <row r="42" spans="1:12">
      <c r="B42" s="47"/>
      <c r="C42" s="47"/>
    </row>
    <row r="43" spans="1:12">
      <c r="B43" s="47"/>
      <c r="C43" s="47"/>
    </row>
    <row r="44" spans="1:12">
      <c r="B44" s="47"/>
      <c r="C44" s="47"/>
    </row>
    <row r="45" spans="1:12">
      <c r="B45" s="47"/>
      <c r="C45" s="47"/>
    </row>
    <row r="46" spans="1:12">
      <c r="B46" s="47"/>
      <c r="C46" s="47"/>
    </row>
    <row r="47" spans="1:12">
      <c r="B47" s="47"/>
      <c r="C47" s="47"/>
    </row>
    <row r="48" spans="1:12">
      <c r="B48" s="47"/>
      <c r="C48" s="47"/>
    </row>
    <row r="49" spans="2:3">
      <c r="B49" s="47"/>
      <c r="C49" s="47"/>
    </row>
    <row r="50" spans="2:3">
      <c r="B50" s="47"/>
      <c r="C50" s="47"/>
    </row>
    <row r="51" spans="2:3">
      <c r="B51" s="47"/>
      <c r="C51" s="47"/>
    </row>
    <row r="52" spans="2:3">
      <c r="B52" s="47"/>
      <c r="C52" s="47"/>
    </row>
    <row r="53" spans="2:3">
      <c r="B53" s="47"/>
      <c r="C53" s="47"/>
    </row>
    <row r="54" spans="2:3">
      <c r="B54" s="47"/>
      <c r="C54" s="47"/>
    </row>
    <row r="55" spans="2:3">
      <c r="B55" s="47"/>
      <c r="C55" s="47"/>
    </row>
  </sheetData>
  <sheetProtection algorithmName="SHA-512" hashValue="olKi7gLHA/DQ/JfBmMqPlvlqwpJq5qhSu6JX+mAtMUwDSpN9i3DRryhtPnexC1NulZF2hI+EaYbddgGa4rp4mA==" saltValue="lhQ0mSInnZuDapyoHs49oQ==" spinCount="100000" sheet="1" objects="1" scenarios="1"/>
  <hyperlinks>
    <hyperlink ref="S7" r:id="rId1" xr:uid="{B4FC50F0-1CE4-41B9-8F8F-F1BBA2F86BDB}"/>
    <hyperlink ref="S8" r:id="rId2" xr:uid="{E2E1255E-B0D6-444E-B892-F9B99F56DD46}"/>
    <hyperlink ref="S9" r:id="rId3" xr:uid="{85F55A21-EBD8-438F-85AD-D1EFA1B2A75B}"/>
    <hyperlink ref="S10" r:id="rId4" xr:uid="{1F0F2DCC-6267-4958-814C-48426043561D}"/>
    <hyperlink ref="S11" r:id="rId5" xr:uid="{5B22C868-2C13-46A1-8960-99D01F581ADF}"/>
    <hyperlink ref="S12" r:id="rId6" xr:uid="{ECF9A389-8D83-4E62-B438-F223F9F4D3A1}"/>
    <hyperlink ref="S13" r:id="rId7" xr:uid="{6AC4E8EA-3226-407C-8059-54756C9B1E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404"/>
  <sheetViews>
    <sheetView tabSelected="1" view="pageBreakPreview" topLeftCell="A143" zoomScale="115" zoomScaleNormal="80" zoomScaleSheetLayoutView="115" workbookViewId="0">
      <selection activeCell="B158" sqref="B158"/>
    </sheetView>
  </sheetViews>
  <sheetFormatPr defaultColWidth="9.140625" defaultRowHeight="14.45"/>
  <cols>
    <col min="1" max="1" width="19" style="31" customWidth="1"/>
    <col min="2" max="2" width="63" style="31" customWidth="1"/>
    <col min="3" max="3" width="8.28515625" style="31" customWidth="1"/>
    <col min="4" max="4" width="8.5703125" style="30" customWidth="1"/>
    <col min="5" max="5" width="9.5703125" style="31" bestFit="1" customWidth="1"/>
    <col min="6" max="16384" width="9.140625" style="31"/>
  </cols>
  <sheetData>
    <row r="1" spans="1:4" ht="28.9">
      <c r="A1" s="70"/>
      <c r="B1" s="70"/>
      <c r="C1" s="70"/>
      <c r="D1" s="70"/>
    </row>
    <row r="2" spans="1:4" ht="28.9">
      <c r="A2" s="2"/>
      <c r="B2" s="3"/>
      <c r="C2" s="4"/>
      <c r="D2" s="4"/>
    </row>
    <row r="3" spans="1:4" s="35" customFormat="1" ht="15.6">
      <c r="A3" s="32"/>
      <c r="B3" s="32"/>
      <c r="C3" s="44"/>
      <c r="D3" s="44"/>
    </row>
    <row r="4" spans="1:4" s="35" customFormat="1" ht="15.6">
      <c r="A4" s="32"/>
      <c r="B4" s="32"/>
      <c r="C4" s="32"/>
      <c r="D4" s="33" t="s">
        <v>167</v>
      </c>
    </row>
    <row r="5" spans="1:4" s="35" customFormat="1" ht="15.6">
      <c r="A5" s="32"/>
      <c r="B5" s="32"/>
      <c r="C5" s="32"/>
      <c r="D5" s="1" t="s">
        <v>168</v>
      </c>
    </row>
    <row r="6" spans="1:4" s="35" customFormat="1" ht="18.75" customHeight="1">
      <c r="A6" s="32"/>
      <c r="B6" s="32"/>
      <c r="C6" s="44"/>
      <c r="D6" s="44"/>
    </row>
    <row r="7" spans="1:4" s="34" customFormat="1" ht="15.6">
      <c r="A7" s="36"/>
      <c r="B7" s="16"/>
      <c r="C7" s="37" t="s">
        <v>169</v>
      </c>
      <c r="D7" s="71" t="s">
        <v>170</v>
      </c>
    </row>
    <row r="8" spans="1:4" s="32" customFormat="1" ht="15.6">
      <c r="A8" s="5" t="s">
        <v>171</v>
      </c>
      <c r="B8" s="6" t="s">
        <v>172</v>
      </c>
      <c r="C8" s="5" t="s">
        <v>173</v>
      </c>
      <c r="D8" s="72"/>
    </row>
    <row r="9" spans="1:4" ht="15.6">
      <c r="A9" s="7"/>
      <c r="B9" s="8" t="s">
        <v>174</v>
      </c>
      <c r="C9" s="9"/>
      <c r="D9" s="9"/>
    </row>
    <row r="10" spans="1:4" ht="16.350000000000001" customHeight="1">
      <c r="A10" s="10" t="s">
        <v>175</v>
      </c>
      <c r="B10" s="11" t="s">
        <v>176</v>
      </c>
      <c r="C10" s="16">
        <v>26</v>
      </c>
      <c r="D10" s="12" t="s">
        <v>177</v>
      </c>
    </row>
    <row r="11" spans="1:4" ht="16.350000000000001" customHeight="1">
      <c r="A11" s="10" t="s">
        <v>175</v>
      </c>
      <c r="B11" s="11" t="s">
        <v>178</v>
      </c>
      <c r="C11" s="16">
        <v>21</v>
      </c>
      <c r="D11" s="12" t="s">
        <v>177</v>
      </c>
    </row>
    <row r="12" spans="1:4" ht="16.350000000000001" customHeight="1">
      <c r="A12" s="10" t="s">
        <v>179</v>
      </c>
      <c r="B12" s="11" t="s">
        <v>180</v>
      </c>
      <c r="C12" s="16">
        <v>48</v>
      </c>
      <c r="D12" s="39" t="s">
        <v>177</v>
      </c>
    </row>
    <row r="13" spans="1:4" ht="16.350000000000001" customHeight="1">
      <c r="A13" s="10" t="s">
        <v>175</v>
      </c>
      <c r="B13" s="18" t="s">
        <v>176</v>
      </c>
      <c r="C13" s="16">
        <v>33</v>
      </c>
      <c r="D13" s="39" t="s">
        <v>177</v>
      </c>
    </row>
    <row r="14" spans="1:4" ht="16.350000000000001" customHeight="1">
      <c r="A14" s="10" t="s">
        <v>181</v>
      </c>
      <c r="B14" s="18" t="s">
        <v>182</v>
      </c>
      <c r="C14" s="16">
        <v>33</v>
      </c>
      <c r="D14" s="39" t="s">
        <v>183</v>
      </c>
    </row>
    <row r="15" spans="1:4" ht="16.350000000000001" customHeight="1">
      <c r="A15" s="10" t="s">
        <v>184</v>
      </c>
      <c r="B15" s="11" t="s">
        <v>185</v>
      </c>
      <c r="C15" s="16">
        <v>1200</v>
      </c>
      <c r="D15" s="12" t="s">
        <v>183</v>
      </c>
    </row>
    <row r="16" spans="1:4" ht="16.350000000000001" customHeight="1">
      <c r="A16" s="7"/>
      <c r="B16" s="8" t="s">
        <v>186</v>
      </c>
      <c r="C16" s="9"/>
      <c r="D16" s="9"/>
    </row>
    <row r="17" spans="1:4" ht="16.350000000000001" customHeight="1">
      <c r="A17" s="10" t="s">
        <v>187</v>
      </c>
      <c r="B17" s="65" t="s">
        <v>188</v>
      </c>
      <c r="C17" s="66">
        <v>753</v>
      </c>
      <c r="D17" s="67" t="s">
        <v>189</v>
      </c>
    </row>
    <row r="18" spans="1:4" ht="16.350000000000001" customHeight="1">
      <c r="A18" s="10" t="s">
        <v>187</v>
      </c>
      <c r="B18" s="65" t="s">
        <v>190</v>
      </c>
      <c r="C18" s="66">
        <v>490</v>
      </c>
      <c r="D18" s="67" t="s">
        <v>189</v>
      </c>
    </row>
    <row r="19" spans="1:4" ht="16.350000000000001" customHeight="1">
      <c r="A19" s="10" t="s">
        <v>191</v>
      </c>
      <c r="B19" s="68" t="s">
        <v>192</v>
      </c>
      <c r="C19" s="36">
        <v>9</v>
      </c>
      <c r="D19" s="62" t="s">
        <v>193</v>
      </c>
    </row>
    <row r="20" spans="1:4" ht="16.350000000000001" customHeight="1">
      <c r="A20" s="10"/>
      <c r="B20" s="63" t="s">
        <v>194</v>
      </c>
      <c r="C20" s="16">
        <f>C19</f>
        <v>9</v>
      </c>
      <c r="D20" s="12" t="s">
        <v>195</v>
      </c>
    </row>
    <row r="21" spans="1:4" ht="16.350000000000001" customHeight="1">
      <c r="A21" s="10"/>
      <c r="B21" s="63" t="s">
        <v>196</v>
      </c>
      <c r="C21" s="16">
        <f>C20*9</f>
        <v>81</v>
      </c>
      <c r="D21" s="12" t="s">
        <v>177</v>
      </c>
    </row>
    <row r="22" spans="1:4" ht="16.350000000000001" customHeight="1">
      <c r="A22" s="10"/>
      <c r="B22" s="68" t="s">
        <v>197</v>
      </c>
      <c r="C22" s="36">
        <v>2</v>
      </c>
      <c r="D22" s="62" t="s">
        <v>193</v>
      </c>
    </row>
    <row r="23" spans="1:4" ht="16.350000000000001" customHeight="1">
      <c r="A23" s="10"/>
      <c r="B23" s="63" t="s">
        <v>198</v>
      </c>
      <c r="C23" s="16">
        <f>C22</f>
        <v>2</v>
      </c>
      <c r="D23" s="12" t="s">
        <v>195</v>
      </c>
    </row>
    <row r="24" spans="1:4" ht="16.350000000000001" customHeight="1">
      <c r="A24" s="10"/>
      <c r="B24" s="63" t="s">
        <v>196</v>
      </c>
      <c r="C24" s="16">
        <f>C23*11</f>
        <v>22</v>
      </c>
      <c r="D24" s="12" t="s">
        <v>177</v>
      </c>
    </row>
    <row r="25" spans="1:4" ht="16.350000000000001" customHeight="1">
      <c r="A25" s="10" t="s">
        <v>199</v>
      </c>
      <c r="B25" s="11" t="s">
        <v>200</v>
      </c>
      <c r="C25" s="16">
        <v>15</v>
      </c>
      <c r="D25" s="12" t="s">
        <v>177</v>
      </c>
    </row>
    <row r="26" spans="1:4" ht="16.350000000000001" customHeight="1">
      <c r="A26" s="10" t="s">
        <v>199</v>
      </c>
      <c r="B26" s="11" t="s">
        <v>201</v>
      </c>
      <c r="C26" s="16">
        <v>3</v>
      </c>
      <c r="D26" s="12" t="s">
        <v>177</v>
      </c>
    </row>
    <row r="27" spans="1:4" ht="16.350000000000001" customHeight="1">
      <c r="A27" s="10" t="s">
        <v>202</v>
      </c>
      <c r="B27" s="11" t="s">
        <v>203</v>
      </c>
      <c r="C27" s="16">
        <v>1</v>
      </c>
      <c r="D27" s="12" t="s">
        <v>177</v>
      </c>
    </row>
    <row r="28" spans="1:4" ht="16.350000000000001" customHeight="1">
      <c r="A28" s="10" t="s">
        <v>204</v>
      </c>
      <c r="B28" s="11" t="s">
        <v>205</v>
      </c>
      <c r="C28" s="16">
        <v>1</v>
      </c>
      <c r="D28" s="12" t="s">
        <v>177</v>
      </c>
    </row>
    <row r="29" spans="1:4" ht="16.350000000000001" customHeight="1">
      <c r="A29" s="10" t="s">
        <v>206</v>
      </c>
      <c r="B29" s="11" t="s">
        <v>207</v>
      </c>
      <c r="C29" s="16">
        <v>4</v>
      </c>
      <c r="D29" s="12" t="s">
        <v>183</v>
      </c>
    </row>
    <row r="30" spans="1:4" ht="16.350000000000001" customHeight="1">
      <c r="A30" s="10" t="s">
        <v>208</v>
      </c>
      <c r="B30" s="11" t="s">
        <v>209</v>
      </c>
      <c r="C30" s="16">
        <v>8</v>
      </c>
      <c r="D30" s="12" t="s">
        <v>189</v>
      </c>
    </row>
    <row r="31" spans="1:4" ht="16.350000000000001" customHeight="1">
      <c r="A31" s="10" t="s">
        <v>210</v>
      </c>
      <c r="B31" s="11" t="s">
        <v>211</v>
      </c>
      <c r="C31" s="16">
        <v>4</v>
      </c>
      <c r="D31" s="12" t="s">
        <v>183</v>
      </c>
    </row>
    <row r="32" spans="1:4" ht="16.350000000000001" customHeight="1">
      <c r="A32" s="10" t="s">
        <v>212</v>
      </c>
      <c r="B32" s="11" t="s">
        <v>213</v>
      </c>
      <c r="C32" s="16">
        <v>4</v>
      </c>
      <c r="D32" s="12" t="s">
        <v>183</v>
      </c>
    </row>
    <row r="33" spans="1:4" ht="16.350000000000001" customHeight="1">
      <c r="A33" s="10" t="s">
        <v>214</v>
      </c>
      <c r="B33" s="11" t="s">
        <v>215</v>
      </c>
      <c r="C33" s="16">
        <v>7</v>
      </c>
      <c r="D33" s="12" t="s">
        <v>183</v>
      </c>
    </row>
    <row r="34" spans="1:4" ht="16.350000000000001" customHeight="1">
      <c r="A34" s="10" t="s">
        <v>202</v>
      </c>
      <c r="B34" s="11" t="s">
        <v>216</v>
      </c>
      <c r="C34" s="16">
        <v>4</v>
      </c>
      <c r="D34" s="12" t="s">
        <v>177</v>
      </c>
    </row>
    <row r="35" spans="1:4" ht="16.350000000000001" customHeight="1">
      <c r="A35" s="10" t="s">
        <v>217</v>
      </c>
      <c r="B35" s="11" t="s">
        <v>218</v>
      </c>
      <c r="C35" s="16">
        <v>11</v>
      </c>
      <c r="D35" s="12" t="s">
        <v>183</v>
      </c>
    </row>
    <row r="36" spans="1:4" ht="16.350000000000001" customHeight="1">
      <c r="A36" s="10" t="s">
        <v>219</v>
      </c>
      <c r="B36" s="11" t="s">
        <v>220</v>
      </c>
      <c r="C36" s="16">
        <v>12</v>
      </c>
      <c r="D36" s="12" t="s">
        <v>177</v>
      </c>
    </row>
    <row r="37" spans="1:4" ht="31.5" customHeight="1">
      <c r="A37" s="10"/>
      <c r="B37" s="18" t="s">
        <v>221</v>
      </c>
      <c r="C37" s="16">
        <f>C36*2</f>
        <v>24</v>
      </c>
      <c r="D37" s="12" t="s">
        <v>183</v>
      </c>
    </row>
    <row r="38" spans="1:4" ht="16.350000000000001" customHeight="1">
      <c r="A38" s="10"/>
      <c r="B38" s="11" t="s">
        <v>222</v>
      </c>
      <c r="C38" s="16">
        <f>C36</f>
        <v>12</v>
      </c>
      <c r="D38" s="12" t="s">
        <v>183</v>
      </c>
    </row>
    <row r="39" spans="1:4" ht="16.350000000000001" customHeight="1">
      <c r="A39" s="10" t="s">
        <v>223</v>
      </c>
      <c r="B39" s="11" t="s">
        <v>224</v>
      </c>
      <c r="C39" s="16">
        <v>90</v>
      </c>
      <c r="D39" s="12" t="s">
        <v>225</v>
      </c>
    </row>
    <row r="40" spans="1:4" ht="16.350000000000001" customHeight="1">
      <c r="A40" s="10" t="s">
        <v>226</v>
      </c>
      <c r="B40" s="11" t="s">
        <v>227</v>
      </c>
      <c r="C40" s="16">
        <v>15</v>
      </c>
      <c r="D40" s="12" t="s">
        <v>183</v>
      </c>
    </row>
    <row r="41" spans="1:4" ht="16.350000000000001" customHeight="1">
      <c r="A41" s="10" t="s">
        <v>228</v>
      </c>
      <c r="B41" s="11" t="s">
        <v>229</v>
      </c>
      <c r="C41" s="16">
        <v>48</v>
      </c>
      <c r="D41" s="12" t="s">
        <v>177</v>
      </c>
    </row>
    <row r="42" spans="1:4" ht="16.350000000000001" customHeight="1">
      <c r="A42" s="10" t="s">
        <v>228</v>
      </c>
      <c r="B42" s="11" t="s">
        <v>229</v>
      </c>
      <c r="C42" s="16">
        <v>36</v>
      </c>
      <c r="D42" s="12" t="s">
        <v>177</v>
      </c>
    </row>
    <row r="43" spans="1:4" ht="16.350000000000001" customHeight="1">
      <c r="A43" s="10" t="s">
        <v>230</v>
      </c>
      <c r="B43" s="11" t="s">
        <v>231</v>
      </c>
      <c r="C43" s="16">
        <v>38</v>
      </c>
      <c r="D43" s="12" t="s">
        <v>177</v>
      </c>
    </row>
    <row r="44" spans="1:4" ht="16.350000000000001" customHeight="1">
      <c r="A44" s="10" t="s">
        <v>232</v>
      </c>
      <c r="B44" s="11" t="s">
        <v>233</v>
      </c>
      <c r="C44" s="16">
        <v>25</v>
      </c>
      <c r="D44" s="12" t="s">
        <v>183</v>
      </c>
    </row>
    <row r="45" spans="1:4" ht="16.350000000000001" customHeight="1">
      <c r="A45" s="10" t="s">
        <v>234</v>
      </c>
      <c r="B45" s="11" t="s">
        <v>235</v>
      </c>
      <c r="C45" s="16">
        <v>25</v>
      </c>
      <c r="D45" s="12" t="s">
        <v>183</v>
      </c>
    </row>
    <row r="46" spans="1:4" ht="16.350000000000001" customHeight="1">
      <c r="A46" s="10" t="s">
        <v>236</v>
      </c>
      <c r="B46" s="11" t="s">
        <v>237</v>
      </c>
      <c r="C46" s="16">
        <v>200</v>
      </c>
      <c r="D46" s="12" t="s">
        <v>183</v>
      </c>
    </row>
    <row r="47" spans="1:4" ht="16.350000000000001" customHeight="1">
      <c r="A47" s="10" t="s">
        <v>238</v>
      </c>
      <c r="B47" s="11" t="s">
        <v>239</v>
      </c>
      <c r="C47" s="16">
        <v>40</v>
      </c>
      <c r="D47" s="12" t="s">
        <v>183</v>
      </c>
    </row>
    <row r="48" spans="1:4" ht="16.350000000000001" customHeight="1">
      <c r="A48" s="10" t="s">
        <v>240</v>
      </c>
      <c r="B48" s="11" t="s">
        <v>241</v>
      </c>
      <c r="C48" s="16">
        <v>30</v>
      </c>
      <c r="D48" s="12" t="s">
        <v>183</v>
      </c>
    </row>
    <row r="49" spans="1:4" ht="16.350000000000001" customHeight="1">
      <c r="A49" s="10" t="s">
        <v>242</v>
      </c>
      <c r="B49" s="11" t="s">
        <v>243</v>
      </c>
      <c r="C49" s="16">
        <v>3500</v>
      </c>
      <c r="D49" s="12" t="s">
        <v>183</v>
      </c>
    </row>
    <row r="50" spans="1:4" ht="16.350000000000001" customHeight="1">
      <c r="A50" s="10" t="s">
        <v>244</v>
      </c>
      <c r="B50" s="11" t="s">
        <v>245</v>
      </c>
      <c r="C50" s="16">
        <v>400</v>
      </c>
      <c r="D50" s="12" t="s">
        <v>183</v>
      </c>
    </row>
    <row r="51" spans="1:4" ht="16.350000000000001" customHeight="1">
      <c r="A51" s="10" t="s">
        <v>246</v>
      </c>
      <c r="B51" s="11" t="s">
        <v>247</v>
      </c>
      <c r="C51" s="16">
        <v>400</v>
      </c>
      <c r="D51" s="12" t="s">
        <v>183</v>
      </c>
    </row>
    <row r="52" spans="1:4" ht="16.350000000000001" customHeight="1">
      <c r="A52" s="10" t="s">
        <v>248</v>
      </c>
      <c r="B52" s="11" t="s">
        <v>249</v>
      </c>
      <c r="C52" s="16">
        <v>5500</v>
      </c>
      <c r="D52" s="12" t="s">
        <v>183</v>
      </c>
    </row>
    <row r="53" spans="1:4" ht="16.350000000000001" customHeight="1">
      <c r="A53" s="10" t="s">
        <v>250</v>
      </c>
      <c r="B53" s="11" t="s">
        <v>251</v>
      </c>
      <c r="C53" s="16">
        <v>250</v>
      </c>
      <c r="D53" s="12" t="s">
        <v>183</v>
      </c>
    </row>
    <row r="54" spans="1:4" ht="16.350000000000001" customHeight="1">
      <c r="A54" s="10" t="s">
        <v>252</v>
      </c>
      <c r="B54" s="11" t="s">
        <v>253</v>
      </c>
      <c r="C54" s="16">
        <v>10</v>
      </c>
      <c r="D54" s="12" t="s">
        <v>183</v>
      </c>
    </row>
    <row r="55" spans="1:4" ht="16.350000000000001" customHeight="1">
      <c r="A55" s="10" t="s">
        <v>254</v>
      </c>
      <c r="B55" s="11" t="s">
        <v>255</v>
      </c>
      <c r="C55" s="16">
        <v>108</v>
      </c>
      <c r="D55" s="12" t="s">
        <v>183</v>
      </c>
    </row>
    <row r="56" spans="1:4" ht="16.350000000000001" customHeight="1">
      <c r="A56" s="10" t="s">
        <v>256</v>
      </c>
      <c r="B56" s="11" t="s">
        <v>257</v>
      </c>
      <c r="C56" s="16">
        <v>108</v>
      </c>
      <c r="D56" s="12" t="s">
        <v>183</v>
      </c>
    </row>
    <row r="57" spans="1:4" ht="16.350000000000001" customHeight="1">
      <c r="A57" s="7"/>
      <c r="B57" s="8" t="s">
        <v>258</v>
      </c>
      <c r="C57" s="9"/>
      <c r="D57" s="7"/>
    </row>
    <row r="58" spans="1:4" ht="16.350000000000001" customHeight="1">
      <c r="A58" s="10" t="s">
        <v>259</v>
      </c>
      <c r="B58" s="11" t="s">
        <v>260</v>
      </c>
      <c r="C58" s="16">
        <v>28</v>
      </c>
      <c r="D58" s="12" t="s">
        <v>177</v>
      </c>
    </row>
    <row r="59" spans="1:4" ht="16.350000000000001" customHeight="1">
      <c r="A59" s="10" t="s">
        <v>261</v>
      </c>
      <c r="B59" s="11" t="s">
        <v>262</v>
      </c>
      <c r="C59" s="16">
        <v>10</v>
      </c>
      <c r="D59" s="12" t="s">
        <v>177</v>
      </c>
    </row>
    <row r="60" spans="1:4" ht="16.350000000000001" customHeight="1">
      <c r="A60" s="10" t="s">
        <v>263</v>
      </c>
      <c r="B60" s="13" t="s">
        <v>264</v>
      </c>
      <c r="C60" s="16">
        <v>2</v>
      </c>
      <c r="D60" s="12" t="s">
        <v>177</v>
      </c>
    </row>
    <row r="61" spans="1:4" ht="16.350000000000001" customHeight="1">
      <c r="A61" s="10" t="s">
        <v>265</v>
      </c>
      <c r="B61" s="13" t="s">
        <v>266</v>
      </c>
      <c r="C61" s="16">
        <v>5</v>
      </c>
      <c r="D61" s="12" t="s">
        <v>177</v>
      </c>
    </row>
    <row r="62" spans="1:4" ht="16.350000000000001" customHeight="1">
      <c r="A62" s="10" t="s">
        <v>267</v>
      </c>
      <c r="B62" s="13" t="s">
        <v>268</v>
      </c>
      <c r="C62" s="16">
        <v>2</v>
      </c>
      <c r="D62" s="12" t="s">
        <v>177</v>
      </c>
    </row>
    <row r="63" spans="1:4" ht="16.350000000000001" customHeight="1">
      <c r="A63" s="10" t="s">
        <v>269</v>
      </c>
      <c r="B63" s="14" t="s">
        <v>270</v>
      </c>
      <c r="C63" s="16">
        <v>10</v>
      </c>
      <c r="D63" s="12" t="s">
        <v>177</v>
      </c>
    </row>
    <row r="64" spans="1:4" ht="16.350000000000001" customHeight="1">
      <c r="A64" s="10" t="s">
        <v>271</v>
      </c>
      <c r="B64" s="11" t="s">
        <v>272</v>
      </c>
      <c r="C64" s="16">
        <v>80</v>
      </c>
      <c r="D64" s="12" t="s">
        <v>183</v>
      </c>
    </row>
    <row r="65" spans="1:4" ht="16.350000000000001" customHeight="1">
      <c r="A65" s="10" t="s">
        <v>273</v>
      </c>
      <c r="B65" s="15" t="s">
        <v>274</v>
      </c>
      <c r="C65" s="16">
        <v>5</v>
      </c>
      <c r="D65" s="12" t="s">
        <v>177</v>
      </c>
    </row>
    <row r="66" spans="1:4" ht="16.350000000000001" customHeight="1">
      <c r="A66" s="10" t="s">
        <v>275</v>
      </c>
      <c r="B66" s="17" t="s">
        <v>276</v>
      </c>
      <c r="C66" s="16">
        <v>3</v>
      </c>
      <c r="D66" s="12" t="s">
        <v>183</v>
      </c>
    </row>
    <row r="67" spans="1:4" ht="16.350000000000001" customHeight="1">
      <c r="A67" s="10" t="s">
        <v>277</v>
      </c>
      <c r="B67" s="17" t="s">
        <v>278</v>
      </c>
      <c r="C67" s="16">
        <v>3</v>
      </c>
      <c r="D67" s="12" t="s">
        <v>183</v>
      </c>
    </row>
    <row r="68" spans="1:4" ht="16.350000000000001" customHeight="1">
      <c r="A68" s="10" t="s">
        <v>279</v>
      </c>
      <c r="B68" s="17" t="s">
        <v>280</v>
      </c>
      <c r="C68" s="16">
        <v>3</v>
      </c>
      <c r="D68" s="12" t="s">
        <v>183</v>
      </c>
    </row>
    <row r="69" spans="1:4" ht="16.350000000000001" customHeight="1">
      <c r="A69" s="10" t="s">
        <v>281</v>
      </c>
      <c r="B69" s="17" t="s">
        <v>282</v>
      </c>
      <c r="C69" s="16">
        <v>5</v>
      </c>
      <c r="D69" s="12" t="s">
        <v>183</v>
      </c>
    </row>
    <row r="70" spans="1:4" ht="16.350000000000001" customHeight="1">
      <c r="A70" s="10" t="s">
        <v>283</v>
      </c>
      <c r="B70" s="17" t="s">
        <v>284</v>
      </c>
      <c r="C70" s="16">
        <v>5</v>
      </c>
      <c r="D70" s="12" t="s">
        <v>183</v>
      </c>
    </row>
    <row r="71" spans="1:4" ht="16.350000000000001" customHeight="1">
      <c r="A71" s="10" t="s">
        <v>285</v>
      </c>
      <c r="B71" s="17" t="s">
        <v>286</v>
      </c>
      <c r="C71" s="16">
        <v>5</v>
      </c>
      <c r="D71" s="12" t="s">
        <v>183</v>
      </c>
    </row>
    <row r="72" spans="1:4" ht="16.350000000000001" customHeight="1">
      <c r="A72" s="10" t="s">
        <v>287</v>
      </c>
      <c r="B72" s="17" t="s">
        <v>288</v>
      </c>
      <c r="C72" s="16">
        <v>5</v>
      </c>
      <c r="D72" s="12" t="s">
        <v>183</v>
      </c>
    </row>
    <row r="73" spans="1:4" ht="16.350000000000001" customHeight="1">
      <c r="A73" s="10" t="s">
        <v>289</v>
      </c>
      <c r="B73" s="17" t="s">
        <v>290</v>
      </c>
      <c r="C73" s="16">
        <v>10</v>
      </c>
      <c r="D73" s="12" t="s">
        <v>183</v>
      </c>
    </row>
    <row r="74" spans="1:4" ht="16.350000000000001" customHeight="1">
      <c r="A74" s="10" t="s">
        <v>291</v>
      </c>
      <c r="B74" s="17" t="s">
        <v>292</v>
      </c>
      <c r="C74" s="16">
        <v>25</v>
      </c>
      <c r="D74" s="12" t="s">
        <v>183</v>
      </c>
    </row>
    <row r="75" spans="1:4" ht="16.350000000000001" customHeight="1">
      <c r="A75" s="10" t="s">
        <v>293</v>
      </c>
      <c r="B75" s="15" t="s">
        <v>294</v>
      </c>
      <c r="C75" s="16">
        <v>33</v>
      </c>
      <c r="D75" s="12" t="s">
        <v>183</v>
      </c>
    </row>
    <row r="76" spans="1:4" ht="16.350000000000001" customHeight="1">
      <c r="A76" s="10" t="s">
        <v>295</v>
      </c>
      <c r="B76" s="15" t="s">
        <v>296</v>
      </c>
      <c r="C76" s="16">
        <v>33</v>
      </c>
      <c r="D76" s="12" t="s">
        <v>183</v>
      </c>
    </row>
    <row r="77" spans="1:4" ht="16.350000000000001" customHeight="1">
      <c r="A77" s="10" t="s">
        <v>297</v>
      </c>
      <c r="B77" s="15" t="s">
        <v>298</v>
      </c>
      <c r="C77" s="16">
        <v>4</v>
      </c>
      <c r="D77" s="12" t="s">
        <v>183</v>
      </c>
    </row>
    <row r="78" spans="1:4" ht="16.350000000000001" customHeight="1">
      <c r="A78" s="10" t="s">
        <v>299</v>
      </c>
      <c r="B78" s="17" t="s">
        <v>300</v>
      </c>
      <c r="C78" s="16">
        <v>56</v>
      </c>
      <c r="D78" s="12" t="s">
        <v>189</v>
      </c>
    </row>
    <row r="79" spans="1:4" ht="16.350000000000001" customHeight="1">
      <c r="A79" s="10" t="s">
        <v>301</v>
      </c>
      <c r="B79" s="17" t="s">
        <v>302</v>
      </c>
      <c r="C79" s="16">
        <v>1100</v>
      </c>
      <c r="D79" s="12" t="s">
        <v>183</v>
      </c>
    </row>
    <row r="80" spans="1:4" ht="16.350000000000001" customHeight="1">
      <c r="A80" s="10" t="s">
        <v>242</v>
      </c>
      <c r="B80" s="11" t="s">
        <v>303</v>
      </c>
      <c r="C80" s="16">
        <v>600</v>
      </c>
      <c r="D80" s="12" t="s">
        <v>183</v>
      </c>
    </row>
    <row r="81" spans="1:4" ht="16.350000000000001" customHeight="1">
      <c r="A81" s="10" t="s">
        <v>304</v>
      </c>
      <c r="B81" s="11" t="s">
        <v>305</v>
      </c>
      <c r="C81" s="16">
        <v>500</v>
      </c>
      <c r="D81" s="12" t="s">
        <v>183</v>
      </c>
    </row>
    <row r="82" spans="1:4" ht="16.350000000000001" customHeight="1">
      <c r="A82" s="7"/>
      <c r="B82" s="8" t="s">
        <v>306</v>
      </c>
      <c r="C82" s="9"/>
      <c r="D82" s="7"/>
    </row>
    <row r="83" spans="1:4" ht="16.350000000000001" customHeight="1">
      <c r="A83" s="10" t="s">
        <v>307</v>
      </c>
      <c r="B83" s="65" t="s">
        <v>308</v>
      </c>
      <c r="C83" s="16">
        <v>132</v>
      </c>
      <c r="D83" s="12" t="s">
        <v>177</v>
      </c>
    </row>
    <row r="84" spans="1:4" ht="16.350000000000001" customHeight="1">
      <c r="A84" s="10" t="s">
        <v>181</v>
      </c>
      <c r="B84" s="65" t="s">
        <v>309</v>
      </c>
      <c r="C84" s="16">
        <v>10</v>
      </c>
      <c r="D84" s="12" t="s">
        <v>177</v>
      </c>
    </row>
    <row r="85" spans="1:4" ht="16.350000000000001" customHeight="1">
      <c r="A85" s="10"/>
      <c r="B85" s="11" t="s">
        <v>310</v>
      </c>
      <c r="C85" s="16">
        <v>7</v>
      </c>
      <c r="D85" s="12" t="s">
        <v>177</v>
      </c>
    </row>
    <row r="86" spans="1:4" ht="16.350000000000001" customHeight="1">
      <c r="A86" s="10" t="s">
        <v>311</v>
      </c>
      <c r="B86" s="11" t="s">
        <v>312</v>
      </c>
      <c r="C86" s="16">
        <v>132</v>
      </c>
      <c r="D86" s="12" t="s">
        <v>177</v>
      </c>
    </row>
    <row r="87" spans="1:4" ht="16.350000000000001" customHeight="1">
      <c r="A87" s="10" t="s">
        <v>313</v>
      </c>
      <c r="B87" s="11" t="s">
        <v>314</v>
      </c>
      <c r="C87" s="16">
        <v>72</v>
      </c>
      <c r="D87" s="12" t="s">
        <v>177</v>
      </c>
    </row>
    <row r="88" spans="1:4" ht="16.350000000000001" customHeight="1">
      <c r="A88" s="10" t="s">
        <v>315</v>
      </c>
      <c r="B88" s="11" t="s">
        <v>316</v>
      </c>
      <c r="C88" s="16">
        <v>1200</v>
      </c>
      <c r="D88" s="12" t="s">
        <v>183</v>
      </c>
    </row>
    <row r="89" spans="1:4" ht="16.350000000000001" customHeight="1">
      <c r="A89" s="10" t="s">
        <v>317</v>
      </c>
      <c r="B89" s="11" t="s">
        <v>318</v>
      </c>
      <c r="C89" s="16">
        <v>1200</v>
      </c>
      <c r="D89" s="12" t="s">
        <v>183</v>
      </c>
    </row>
    <row r="90" spans="1:4" ht="16.350000000000001" customHeight="1">
      <c r="A90" s="10" t="s">
        <v>319</v>
      </c>
      <c r="B90" s="11" t="s">
        <v>320</v>
      </c>
      <c r="C90" s="16">
        <v>200</v>
      </c>
      <c r="D90" s="12" t="s">
        <v>183</v>
      </c>
    </row>
    <row r="91" spans="1:4" ht="16.350000000000001" customHeight="1">
      <c r="A91" s="7"/>
      <c r="B91" s="8" t="s">
        <v>321</v>
      </c>
      <c r="C91" s="9"/>
      <c r="D91" s="7"/>
    </row>
    <row r="92" spans="1:4" ht="16.350000000000001" customHeight="1">
      <c r="A92" s="10" t="s">
        <v>322</v>
      </c>
      <c r="B92" s="11" t="s">
        <v>323</v>
      </c>
      <c r="C92" s="16">
        <v>1</v>
      </c>
      <c r="D92" s="12" t="s">
        <v>183</v>
      </c>
    </row>
    <row r="93" spans="1:4" ht="16.350000000000001" customHeight="1">
      <c r="A93" s="10" t="s">
        <v>324</v>
      </c>
      <c r="B93" s="11" t="s">
        <v>325</v>
      </c>
      <c r="C93" s="16">
        <v>3</v>
      </c>
      <c r="D93" s="12" t="s">
        <v>183</v>
      </c>
    </row>
    <row r="94" spans="1:4" ht="16.350000000000001" customHeight="1">
      <c r="A94" s="10" t="s">
        <v>326</v>
      </c>
      <c r="B94" s="11" t="s">
        <v>327</v>
      </c>
      <c r="C94" s="16">
        <v>1</v>
      </c>
      <c r="D94" s="12" t="s">
        <v>183</v>
      </c>
    </row>
    <row r="95" spans="1:4" ht="16.350000000000001" customHeight="1">
      <c r="A95" s="10" t="s">
        <v>328</v>
      </c>
      <c r="B95" s="11" t="s">
        <v>329</v>
      </c>
      <c r="C95" s="16">
        <v>1</v>
      </c>
      <c r="D95" s="12" t="s">
        <v>183</v>
      </c>
    </row>
    <row r="96" spans="1:4" ht="16.350000000000001" customHeight="1">
      <c r="A96" s="10" t="s">
        <v>330</v>
      </c>
      <c r="B96" s="11" t="s">
        <v>331</v>
      </c>
      <c r="C96" s="16">
        <v>3</v>
      </c>
      <c r="D96" s="12" t="s">
        <v>183</v>
      </c>
    </row>
    <row r="97" spans="1:4" ht="16.350000000000001" customHeight="1">
      <c r="A97" s="10" t="s">
        <v>332</v>
      </c>
      <c r="B97" s="11" t="s">
        <v>333</v>
      </c>
      <c r="C97" s="16">
        <v>1</v>
      </c>
      <c r="D97" s="12" t="s">
        <v>183</v>
      </c>
    </row>
    <row r="98" spans="1:4" ht="16.350000000000001" customHeight="1">
      <c r="A98" s="10" t="s">
        <v>334</v>
      </c>
      <c r="B98" s="11" t="s">
        <v>335</v>
      </c>
      <c r="C98" s="16">
        <v>13</v>
      </c>
      <c r="D98" s="12" t="s">
        <v>183</v>
      </c>
    </row>
    <row r="99" spans="1:4" ht="16.350000000000001" customHeight="1">
      <c r="A99" s="10" t="s">
        <v>336</v>
      </c>
      <c r="B99" s="11" t="s">
        <v>337</v>
      </c>
      <c r="C99" s="16">
        <v>5</v>
      </c>
      <c r="D99" s="12" t="s">
        <v>183</v>
      </c>
    </row>
    <row r="100" spans="1:4" ht="16.350000000000001" customHeight="1">
      <c r="A100" s="10" t="s">
        <v>338</v>
      </c>
      <c r="B100" s="11" t="s">
        <v>339</v>
      </c>
      <c r="C100" s="16">
        <v>1</v>
      </c>
      <c r="D100" s="12" t="s">
        <v>183</v>
      </c>
    </row>
    <row r="101" spans="1:4" ht="16.350000000000001" customHeight="1">
      <c r="A101" s="10" t="s">
        <v>340</v>
      </c>
      <c r="B101" s="11" t="s">
        <v>341</v>
      </c>
      <c r="C101" s="16">
        <v>4</v>
      </c>
      <c r="D101" s="12" t="s">
        <v>183</v>
      </c>
    </row>
    <row r="102" spans="1:4" ht="16.350000000000001" customHeight="1">
      <c r="A102" s="10" t="s">
        <v>342</v>
      </c>
      <c r="B102" s="11" t="s">
        <v>343</v>
      </c>
      <c r="C102" s="16">
        <v>1</v>
      </c>
      <c r="D102" s="12" t="s">
        <v>183</v>
      </c>
    </row>
    <row r="103" spans="1:4" ht="16.350000000000001" customHeight="1">
      <c r="A103" s="10" t="s">
        <v>344</v>
      </c>
      <c r="B103" s="68" t="s">
        <v>345</v>
      </c>
      <c r="C103" s="36">
        <v>8</v>
      </c>
      <c r="D103" s="62" t="s">
        <v>193</v>
      </c>
    </row>
    <row r="104" spans="1:4" ht="16.350000000000001" customHeight="1">
      <c r="A104" s="10"/>
      <c r="B104" s="63" t="s">
        <v>346</v>
      </c>
      <c r="C104" s="16">
        <v>8</v>
      </c>
      <c r="D104" s="12" t="s">
        <v>183</v>
      </c>
    </row>
    <row r="105" spans="1:4" ht="16.350000000000001" customHeight="1">
      <c r="A105" s="10"/>
      <c r="B105" s="63" t="s">
        <v>347</v>
      </c>
      <c r="C105" s="16">
        <f>ROUNDUP((C104*1.1*3+C104*1.2*2)/2.4,0)</f>
        <v>19</v>
      </c>
      <c r="D105" s="12" t="s">
        <v>177</v>
      </c>
    </row>
    <row r="106" spans="1:4" ht="16.350000000000001" customHeight="1">
      <c r="A106" s="10"/>
      <c r="B106" s="63" t="s">
        <v>348</v>
      </c>
      <c r="C106" s="16">
        <f>ROUNDUP(1.3*8*C104/6,0)</f>
        <v>14</v>
      </c>
      <c r="D106" s="12" t="s">
        <v>177</v>
      </c>
    </row>
    <row r="107" spans="1:4" ht="16.350000000000001" customHeight="1">
      <c r="A107" s="10"/>
      <c r="B107" s="63" t="s">
        <v>349</v>
      </c>
      <c r="C107" s="16">
        <f>ROUNDUP(1.2*1.2*C104,0)</f>
        <v>12</v>
      </c>
      <c r="D107" s="12" t="s">
        <v>350</v>
      </c>
    </row>
    <row r="108" spans="1:4" ht="16.350000000000001" customHeight="1">
      <c r="A108" s="10"/>
      <c r="B108" s="63" t="s">
        <v>351</v>
      </c>
      <c r="C108" s="16">
        <f>C104*7*2</f>
        <v>112</v>
      </c>
      <c r="D108" s="12" t="s">
        <v>183</v>
      </c>
    </row>
    <row r="109" spans="1:4" ht="16.350000000000001" customHeight="1">
      <c r="A109" s="10"/>
      <c r="B109" s="63" t="s">
        <v>352</v>
      </c>
      <c r="C109" s="16">
        <f>C104*2</f>
        <v>16</v>
      </c>
      <c r="D109" s="12" t="s">
        <v>353</v>
      </c>
    </row>
    <row r="110" spans="1:4" ht="16.350000000000001" customHeight="1">
      <c r="A110" s="10" t="s">
        <v>354</v>
      </c>
      <c r="B110" s="68" t="s">
        <v>355</v>
      </c>
      <c r="C110" s="36">
        <v>1</v>
      </c>
      <c r="D110" s="62" t="s">
        <v>193</v>
      </c>
    </row>
    <row r="111" spans="1:4" ht="16.350000000000001" customHeight="1">
      <c r="A111" s="10"/>
      <c r="B111" s="63" t="s">
        <v>356</v>
      </c>
      <c r="C111" s="16">
        <v>1</v>
      </c>
      <c r="D111" s="12" t="s">
        <v>183</v>
      </c>
    </row>
    <row r="112" spans="1:4" ht="16.350000000000001" customHeight="1">
      <c r="A112" s="10"/>
      <c r="B112" s="63" t="s">
        <v>347</v>
      </c>
      <c r="C112" s="16">
        <f>ROUNDUP((C111*0.8*2+C111*0.62*2)/2.4,0)</f>
        <v>2</v>
      </c>
      <c r="D112" s="12" t="s">
        <v>177</v>
      </c>
    </row>
    <row r="113" spans="1:4" ht="16.350000000000001" customHeight="1">
      <c r="A113" s="10"/>
      <c r="B113" s="63" t="s">
        <v>348</v>
      </c>
      <c r="C113" s="16">
        <f>ROUNDUP(0.7*6*C111/6,0)</f>
        <v>1</v>
      </c>
      <c r="D113" s="12" t="s">
        <v>177</v>
      </c>
    </row>
    <row r="114" spans="1:4" ht="16.350000000000001" customHeight="1">
      <c r="A114" s="10"/>
      <c r="B114" s="63" t="s">
        <v>349</v>
      </c>
      <c r="C114" s="16">
        <f>ROUNDUP(0.8*0.7*C111,0)</f>
        <v>1</v>
      </c>
      <c r="D114" s="12" t="s">
        <v>350</v>
      </c>
    </row>
    <row r="115" spans="1:4" ht="16.350000000000001" customHeight="1">
      <c r="A115" s="10"/>
      <c r="B115" s="63" t="s">
        <v>357</v>
      </c>
      <c r="C115" s="16">
        <f>C111*5*1</f>
        <v>5</v>
      </c>
      <c r="D115" s="12" t="s">
        <v>183</v>
      </c>
    </row>
    <row r="116" spans="1:4" ht="16.350000000000001" customHeight="1">
      <c r="A116" s="10"/>
      <c r="B116" s="63" t="s">
        <v>358</v>
      </c>
      <c r="C116" s="16">
        <f>C111</f>
        <v>1</v>
      </c>
      <c r="D116" s="12" t="s">
        <v>353</v>
      </c>
    </row>
    <row r="117" spans="1:4" ht="16.350000000000001" customHeight="1">
      <c r="A117" s="10" t="s">
        <v>359</v>
      </c>
      <c r="B117" s="68" t="s">
        <v>360</v>
      </c>
      <c r="C117" s="36">
        <v>1</v>
      </c>
      <c r="D117" s="62" t="s">
        <v>193</v>
      </c>
    </row>
    <row r="118" spans="1:4" ht="16.350000000000001" customHeight="1">
      <c r="A118" s="10"/>
      <c r="B118" s="63" t="s">
        <v>361</v>
      </c>
      <c r="C118" s="16">
        <v>1</v>
      </c>
      <c r="D118" s="12" t="s">
        <v>183</v>
      </c>
    </row>
    <row r="119" spans="1:4" ht="16.350000000000001" customHeight="1">
      <c r="A119" s="10"/>
      <c r="B119" s="63" t="s">
        <v>347</v>
      </c>
      <c r="C119" s="16">
        <f>ROUNDUP((C118*1.85*3+C118*1.2*3)/2.4,0)</f>
        <v>4</v>
      </c>
      <c r="D119" s="12" t="s">
        <v>177</v>
      </c>
    </row>
    <row r="120" spans="1:4" ht="16.350000000000001" customHeight="1">
      <c r="A120" s="10"/>
      <c r="B120" s="63" t="s">
        <v>348</v>
      </c>
      <c r="C120" s="16">
        <f>ROUNDUP(1.3*13*C118/6,0)</f>
        <v>3</v>
      </c>
      <c r="D120" s="12" t="s">
        <v>177</v>
      </c>
    </row>
    <row r="121" spans="1:4" ht="16.350000000000001" customHeight="1">
      <c r="A121" s="10"/>
      <c r="B121" s="63" t="s">
        <v>349</v>
      </c>
      <c r="C121" s="16">
        <f>ROUNDUP(1.2*1.85*C118,0)</f>
        <v>3</v>
      </c>
      <c r="D121" s="12" t="s">
        <v>350</v>
      </c>
    </row>
    <row r="122" spans="1:4" ht="16.350000000000001" customHeight="1">
      <c r="A122" s="10"/>
      <c r="B122" s="63" t="s">
        <v>351</v>
      </c>
      <c r="C122" s="16">
        <f>C118*12*2</f>
        <v>24</v>
      </c>
      <c r="D122" s="12" t="s">
        <v>183</v>
      </c>
    </row>
    <row r="123" spans="1:4" ht="16.350000000000001" customHeight="1">
      <c r="A123" s="10"/>
      <c r="B123" s="63" t="s">
        <v>352</v>
      </c>
      <c r="C123" s="16">
        <f>C118*2</f>
        <v>2</v>
      </c>
      <c r="D123" s="12" t="s">
        <v>353</v>
      </c>
    </row>
    <row r="124" spans="1:4" ht="16.350000000000001" customHeight="1">
      <c r="A124" s="10"/>
      <c r="B124" s="63" t="s">
        <v>358</v>
      </c>
      <c r="C124" s="16">
        <f>C118*2</f>
        <v>2</v>
      </c>
      <c r="D124" s="12" t="s">
        <v>353</v>
      </c>
    </row>
    <row r="125" spans="1:4" ht="16.350000000000001" customHeight="1">
      <c r="A125" s="10" t="s">
        <v>362</v>
      </c>
      <c r="B125" s="11" t="s">
        <v>363</v>
      </c>
      <c r="C125" s="16">
        <v>1</v>
      </c>
      <c r="D125" s="12" t="s">
        <v>177</v>
      </c>
    </row>
    <row r="126" spans="1:4" ht="16.350000000000001" customHeight="1">
      <c r="A126" s="10" t="s">
        <v>364</v>
      </c>
      <c r="B126" s="11" t="s">
        <v>365</v>
      </c>
      <c r="C126" s="16">
        <v>9</v>
      </c>
      <c r="D126" s="12" t="s">
        <v>177</v>
      </c>
    </row>
    <row r="127" spans="1:4" ht="16.350000000000001" customHeight="1">
      <c r="A127" s="10"/>
      <c r="B127" s="11" t="s">
        <v>366</v>
      </c>
      <c r="C127" s="16">
        <v>1</v>
      </c>
      <c r="D127" s="12" t="s">
        <v>177</v>
      </c>
    </row>
    <row r="128" spans="1:4" ht="16.350000000000001" customHeight="1">
      <c r="A128" s="10"/>
      <c r="B128" s="11" t="s">
        <v>367</v>
      </c>
      <c r="C128" s="16">
        <v>2</v>
      </c>
      <c r="D128" s="12" t="s">
        <v>177</v>
      </c>
    </row>
    <row r="129" spans="1:4" ht="16.350000000000001" customHeight="1">
      <c r="A129" s="10" t="s">
        <v>368</v>
      </c>
      <c r="B129" s="11" t="s">
        <v>369</v>
      </c>
      <c r="C129" s="16">
        <v>400</v>
      </c>
      <c r="D129" s="12" t="s">
        <v>183</v>
      </c>
    </row>
    <row r="130" spans="1:4" ht="16.350000000000001" customHeight="1">
      <c r="A130" s="7"/>
      <c r="B130" s="8" t="s">
        <v>370</v>
      </c>
      <c r="C130" s="9"/>
      <c r="D130" s="7"/>
    </row>
    <row r="131" spans="1:4" ht="16.350000000000001" customHeight="1">
      <c r="A131" s="10" t="s">
        <v>371</v>
      </c>
      <c r="B131" s="65" t="s">
        <v>372</v>
      </c>
      <c r="C131" s="16">
        <v>76</v>
      </c>
      <c r="D131" s="12" t="s">
        <v>183</v>
      </c>
    </row>
    <row r="132" spans="1:4" ht="16.350000000000001" customHeight="1">
      <c r="A132" s="10" t="s">
        <v>373</v>
      </c>
      <c r="B132" s="65" t="s">
        <v>374</v>
      </c>
      <c r="C132" s="16">
        <v>42</v>
      </c>
      <c r="D132" s="12" t="s">
        <v>183</v>
      </c>
    </row>
    <row r="133" spans="1:4" ht="16.350000000000001" customHeight="1">
      <c r="A133" s="10" t="s">
        <v>375</v>
      </c>
      <c r="B133" s="65" t="s">
        <v>376</v>
      </c>
      <c r="C133" s="16">
        <v>24</v>
      </c>
      <c r="D133" s="12" t="s">
        <v>183</v>
      </c>
    </row>
    <row r="134" spans="1:4" ht="16.350000000000001" customHeight="1">
      <c r="A134" s="10" t="s">
        <v>377</v>
      </c>
      <c r="B134" s="11" t="s">
        <v>378</v>
      </c>
      <c r="C134" s="16">
        <v>7</v>
      </c>
      <c r="D134" s="12" t="s">
        <v>183</v>
      </c>
    </row>
    <row r="135" spans="1:4" ht="16.350000000000001" customHeight="1">
      <c r="A135" s="16" t="s">
        <v>379</v>
      </c>
      <c r="B135" s="11" t="s">
        <v>380</v>
      </c>
      <c r="C135" s="16">
        <v>58</v>
      </c>
      <c r="D135" s="12" t="s">
        <v>350</v>
      </c>
    </row>
    <row r="136" spans="1:4" ht="16.350000000000001" customHeight="1">
      <c r="A136" s="10" t="s">
        <v>381</v>
      </c>
      <c r="B136" s="11" t="s">
        <v>382</v>
      </c>
      <c r="C136" s="16">
        <v>5.76</v>
      </c>
      <c r="D136" s="12" t="s">
        <v>350</v>
      </c>
    </row>
    <row r="137" spans="1:4" ht="16.350000000000001" customHeight="1">
      <c r="A137" s="10" t="s">
        <v>383</v>
      </c>
      <c r="B137" s="11" t="s">
        <v>384</v>
      </c>
      <c r="C137" s="16">
        <v>6</v>
      </c>
      <c r="D137" s="12" t="s">
        <v>350</v>
      </c>
    </row>
    <row r="138" spans="1:4" ht="16.350000000000001" customHeight="1">
      <c r="A138" s="10" t="s">
        <v>385</v>
      </c>
      <c r="B138" s="11" t="s">
        <v>386</v>
      </c>
      <c r="C138" s="16">
        <v>62</v>
      </c>
      <c r="D138" s="12" t="s">
        <v>177</v>
      </c>
    </row>
    <row r="139" spans="1:4" ht="16.350000000000001" customHeight="1">
      <c r="A139" s="10" t="s">
        <v>387</v>
      </c>
      <c r="B139" s="11" t="s">
        <v>388</v>
      </c>
      <c r="C139" s="16">
        <v>76</v>
      </c>
      <c r="D139" s="12" t="s">
        <v>177</v>
      </c>
    </row>
    <row r="140" spans="1:4" ht="16.350000000000001" customHeight="1">
      <c r="A140" s="10" t="s">
        <v>389</v>
      </c>
      <c r="B140" s="11" t="s">
        <v>390</v>
      </c>
      <c r="C140" s="16">
        <v>33</v>
      </c>
      <c r="D140" s="12" t="s">
        <v>177</v>
      </c>
    </row>
    <row r="141" spans="1:4" ht="16.350000000000001" customHeight="1">
      <c r="A141" s="10" t="s">
        <v>391</v>
      </c>
      <c r="B141" s="11" t="s">
        <v>392</v>
      </c>
      <c r="C141" s="16">
        <v>9</v>
      </c>
      <c r="D141" s="12" t="s">
        <v>177</v>
      </c>
    </row>
    <row r="142" spans="1:4" ht="16.350000000000001" customHeight="1">
      <c r="A142" s="10" t="s">
        <v>393</v>
      </c>
      <c r="B142" s="11" t="s">
        <v>394</v>
      </c>
      <c r="C142" s="16">
        <v>2</v>
      </c>
      <c r="D142" s="12" t="s">
        <v>183</v>
      </c>
    </row>
    <row r="143" spans="1:4" ht="16.350000000000001" customHeight="1">
      <c r="A143" s="10" t="s">
        <v>395</v>
      </c>
      <c r="B143" s="11" t="s">
        <v>396</v>
      </c>
      <c r="C143" s="16">
        <v>3600</v>
      </c>
      <c r="D143" s="12" t="s">
        <v>183</v>
      </c>
    </row>
    <row r="144" spans="1:4" ht="16.350000000000001" customHeight="1">
      <c r="A144" s="10" t="s">
        <v>368</v>
      </c>
      <c r="B144" s="11" t="s">
        <v>369</v>
      </c>
      <c r="C144" s="16">
        <v>720</v>
      </c>
      <c r="D144" s="12" t="s">
        <v>183</v>
      </c>
    </row>
    <row r="145" spans="1:4" ht="16.350000000000001" customHeight="1">
      <c r="A145" s="10" t="s">
        <v>397</v>
      </c>
      <c r="B145" s="11" t="s">
        <v>398</v>
      </c>
      <c r="C145" s="16">
        <v>4</v>
      </c>
      <c r="D145" s="12" t="s">
        <v>183</v>
      </c>
    </row>
    <row r="146" spans="1:4" ht="16.350000000000001" customHeight="1">
      <c r="A146" s="10" t="s">
        <v>399</v>
      </c>
      <c r="B146" s="11" t="s">
        <v>400</v>
      </c>
      <c r="C146" s="16">
        <v>2</v>
      </c>
      <c r="D146" s="12" t="s">
        <v>183</v>
      </c>
    </row>
    <row r="147" spans="1:4" ht="16.350000000000001" customHeight="1">
      <c r="A147" s="7"/>
      <c r="B147" s="8" t="s">
        <v>401</v>
      </c>
      <c r="C147" s="9"/>
      <c r="D147" s="7"/>
    </row>
    <row r="148" spans="1:4" ht="16.350000000000001" customHeight="1">
      <c r="A148" s="10" t="s">
        <v>402</v>
      </c>
      <c r="B148" s="18" t="s">
        <v>403</v>
      </c>
      <c r="C148" s="16">
        <v>4</v>
      </c>
      <c r="D148" s="12" t="s">
        <v>183</v>
      </c>
    </row>
    <row r="149" spans="1:4" ht="16.350000000000001" customHeight="1">
      <c r="A149" s="10" t="s">
        <v>404</v>
      </c>
      <c r="B149" s="18" t="s">
        <v>405</v>
      </c>
      <c r="C149" s="16">
        <v>8</v>
      </c>
      <c r="D149" s="12" t="s">
        <v>183</v>
      </c>
    </row>
    <row r="150" spans="1:4" ht="16.350000000000001" customHeight="1">
      <c r="A150" s="10" t="s">
        <v>406</v>
      </c>
      <c r="B150" s="18" t="s">
        <v>407</v>
      </c>
      <c r="C150" s="16">
        <v>9</v>
      </c>
      <c r="D150" s="12" t="s">
        <v>183</v>
      </c>
    </row>
    <row r="151" spans="1:4" ht="16.350000000000001" customHeight="1">
      <c r="A151" s="10" t="s">
        <v>408</v>
      </c>
      <c r="B151" s="18" t="s">
        <v>409</v>
      </c>
      <c r="C151" s="16">
        <v>2</v>
      </c>
      <c r="D151" s="12" t="s">
        <v>183</v>
      </c>
    </row>
    <row r="152" spans="1:4" ht="16.350000000000001" customHeight="1">
      <c r="A152" s="10" t="s">
        <v>410</v>
      </c>
      <c r="B152" s="18" t="s">
        <v>411</v>
      </c>
      <c r="C152" s="16">
        <v>3</v>
      </c>
      <c r="D152" s="12" t="s">
        <v>183</v>
      </c>
    </row>
    <row r="153" spans="1:4" ht="16.350000000000001" customHeight="1">
      <c r="A153" s="10" t="s">
        <v>412</v>
      </c>
      <c r="B153" s="18" t="s">
        <v>413</v>
      </c>
      <c r="C153" s="16">
        <v>2</v>
      </c>
      <c r="D153" s="12" t="s">
        <v>183</v>
      </c>
    </row>
    <row r="154" spans="1:4" ht="16.350000000000001" customHeight="1">
      <c r="A154" s="10" t="s">
        <v>414</v>
      </c>
      <c r="B154" s="18" t="s">
        <v>415</v>
      </c>
      <c r="C154" s="16">
        <v>4</v>
      </c>
      <c r="D154" s="12" t="s">
        <v>183</v>
      </c>
    </row>
    <row r="155" spans="1:4" ht="16.350000000000001" customHeight="1">
      <c r="A155" s="10" t="s">
        <v>416</v>
      </c>
      <c r="B155" s="18" t="s">
        <v>417</v>
      </c>
      <c r="C155" s="16">
        <v>4</v>
      </c>
      <c r="D155" s="12" t="s">
        <v>183</v>
      </c>
    </row>
    <row r="156" spans="1:4" ht="16.350000000000001" customHeight="1">
      <c r="A156" s="10" t="s">
        <v>418</v>
      </c>
      <c r="B156" s="18" t="s">
        <v>419</v>
      </c>
      <c r="C156" s="16">
        <v>3</v>
      </c>
      <c r="D156" s="12" t="s">
        <v>183</v>
      </c>
    </row>
    <row r="157" spans="1:4" ht="16.350000000000001" customHeight="1">
      <c r="A157" s="10" t="s">
        <v>420</v>
      </c>
      <c r="B157" s="18" t="s">
        <v>421</v>
      </c>
      <c r="C157" s="16">
        <v>15</v>
      </c>
      <c r="D157" s="12" t="s">
        <v>183</v>
      </c>
    </row>
    <row r="158" spans="1:4" ht="33.6" customHeight="1">
      <c r="A158" s="10" t="s">
        <v>422</v>
      </c>
      <c r="B158" s="18" t="s">
        <v>423</v>
      </c>
      <c r="C158" s="16">
        <v>8</v>
      </c>
      <c r="D158" s="12" t="s">
        <v>183</v>
      </c>
    </row>
    <row r="159" spans="1:4" ht="16.350000000000001" customHeight="1">
      <c r="A159" s="10" t="s">
        <v>424</v>
      </c>
      <c r="B159" s="18" t="s">
        <v>425</v>
      </c>
      <c r="C159" s="16">
        <v>6</v>
      </c>
      <c r="D159" s="12" t="s">
        <v>183</v>
      </c>
    </row>
    <row r="160" spans="1:4" ht="16.350000000000001" customHeight="1">
      <c r="A160" s="10" t="s">
        <v>426</v>
      </c>
      <c r="B160" s="18" t="s">
        <v>427</v>
      </c>
      <c r="C160" s="16">
        <v>2</v>
      </c>
      <c r="D160" s="12" t="s">
        <v>183</v>
      </c>
    </row>
    <row r="161" spans="1:4" ht="16.350000000000001" customHeight="1">
      <c r="A161" s="10" t="s">
        <v>428</v>
      </c>
      <c r="B161" s="18" t="s">
        <v>429</v>
      </c>
      <c r="C161" s="16">
        <v>6</v>
      </c>
      <c r="D161" s="12" t="s">
        <v>183</v>
      </c>
    </row>
    <row r="162" spans="1:4" ht="16.350000000000001" customHeight="1">
      <c r="A162" s="10" t="s">
        <v>430</v>
      </c>
      <c r="B162" s="18" t="s">
        <v>431</v>
      </c>
      <c r="C162" s="16">
        <v>2</v>
      </c>
      <c r="D162" s="12" t="s">
        <v>183</v>
      </c>
    </row>
    <row r="163" spans="1:4" ht="16.350000000000001" customHeight="1">
      <c r="A163" s="10" t="s">
        <v>432</v>
      </c>
      <c r="B163" s="18" t="s">
        <v>433</v>
      </c>
      <c r="C163" s="16">
        <v>2</v>
      </c>
      <c r="D163" s="12" t="s">
        <v>183</v>
      </c>
    </row>
    <row r="164" spans="1:4" ht="16.350000000000001" customHeight="1">
      <c r="A164" s="10" t="s">
        <v>434</v>
      </c>
      <c r="B164" s="18" t="s">
        <v>435</v>
      </c>
      <c r="C164" s="16">
        <v>1</v>
      </c>
      <c r="D164" s="12" t="s">
        <v>183</v>
      </c>
    </row>
    <row r="165" spans="1:4" ht="16.350000000000001" customHeight="1">
      <c r="A165" s="10" t="s">
        <v>436</v>
      </c>
      <c r="B165" s="18" t="s">
        <v>437</v>
      </c>
      <c r="C165" s="16">
        <v>6</v>
      </c>
      <c r="D165" s="12" t="s">
        <v>183</v>
      </c>
    </row>
    <row r="166" spans="1:4" ht="16.350000000000001" customHeight="1">
      <c r="A166" s="10" t="s">
        <v>438</v>
      </c>
      <c r="B166" s="18" t="s">
        <v>439</v>
      </c>
      <c r="C166" s="16">
        <v>8</v>
      </c>
      <c r="D166" s="12" t="s">
        <v>183</v>
      </c>
    </row>
    <row r="167" spans="1:4" ht="16.350000000000001" customHeight="1">
      <c r="A167" s="10" t="s">
        <v>440</v>
      </c>
      <c r="B167" s="18" t="s">
        <v>441</v>
      </c>
      <c r="C167" s="16">
        <v>1</v>
      </c>
      <c r="D167" s="12" t="s">
        <v>183</v>
      </c>
    </row>
    <row r="168" spans="1:4" ht="16.350000000000001" customHeight="1">
      <c r="A168" s="10" t="s">
        <v>442</v>
      </c>
      <c r="B168" s="18" t="s">
        <v>443</v>
      </c>
      <c r="C168" s="16">
        <v>2</v>
      </c>
      <c r="D168" s="12" t="s">
        <v>183</v>
      </c>
    </row>
    <row r="169" spans="1:4" ht="16.350000000000001" customHeight="1">
      <c r="A169" s="10" t="s">
        <v>444</v>
      </c>
      <c r="B169" s="18" t="s">
        <v>445</v>
      </c>
      <c r="C169" s="16">
        <v>1</v>
      </c>
      <c r="D169" s="12" t="s">
        <v>183</v>
      </c>
    </row>
    <row r="170" spans="1:4" ht="16.350000000000001" customHeight="1">
      <c r="A170" s="10" t="s">
        <v>446</v>
      </c>
      <c r="B170" s="18" t="s">
        <v>447</v>
      </c>
      <c r="C170" s="16">
        <v>2</v>
      </c>
      <c r="D170" s="12" t="s">
        <v>183</v>
      </c>
    </row>
    <row r="171" spans="1:4" ht="16.350000000000001" customHeight="1">
      <c r="A171" s="10" t="s">
        <v>448</v>
      </c>
      <c r="B171" s="18" t="s">
        <v>449</v>
      </c>
      <c r="C171" s="16">
        <v>1</v>
      </c>
      <c r="D171" s="12" t="s">
        <v>183</v>
      </c>
    </row>
    <row r="172" spans="1:4" ht="16.350000000000001" customHeight="1">
      <c r="A172" s="10" t="s">
        <v>450</v>
      </c>
      <c r="B172" s="18" t="s">
        <v>451</v>
      </c>
      <c r="C172" s="16">
        <v>4</v>
      </c>
      <c r="D172" s="12" t="s">
        <v>183</v>
      </c>
    </row>
    <row r="173" spans="1:4" ht="16.350000000000001" customHeight="1">
      <c r="A173" s="10" t="s">
        <v>452</v>
      </c>
      <c r="B173" s="18" t="s">
        <v>453</v>
      </c>
      <c r="C173" s="16">
        <v>1</v>
      </c>
      <c r="D173" s="12" t="s">
        <v>183</v>
      </c>
    </row>
    <row r="174" spans="1:4" ht="16.350000000000001" customHeight="1">
      <c r="A174" s="10" t="s">
        <v>454</v>
      </c>
      <c r="B174" s="18" t="s">
        <v>455</v>
      </c>
      <c r="C174" s="16">
        <v>2</v>
      </c>
      <c r="D174" s="12" t="s">
        <v>183</v>
      </c>
    </row>
    <row r="175" spans="1:4" ht="16.350000000000001" customHeight="1">
      <c r="A175" s="10" t="s">
        <v>456</v>
      </c>
      <c r="B175" s="18" t="s">
        <v>457</v>
      </c>
      <c r="C175" s="16">
        <v>1</v>
      </c>
      <c r="D175" s="12" t="s">
        <v>183</v>
      </c>
    </row>
    <row r="176" spans="1:4" ht="16.350000000000001" customHeight="1">
      <c r="A176" s="10" t="s">
        <v>458</v>
      </c>
      <c r="B176" s="18" t="s">
        <v>459</v>
      </c>
      <c r="C176" s="16">
        <v>10</v>
      </c>
      <c r="D176" s="12" t="s">
        <v>189</v>
      </c>
    </row>
    <row r="177" spans="1:4" ht="16.350000000000001" customHeight="1">
      <c r="A177" s="10" t="s">
        <v>460</v>
      </c>
      <c r="B177" s="18" t="s">
        <v>461</v>
      </c>
      <c r="C177" s="16">
        <v>8</v>
      </c>
      <c r="D177" s="12" t="s">
        <v>189</v>
      </c>
    </row>
    <row r="178" spans="1:4" ht="16.350000000000001" customHeight="1">
      <c r="A178" s="10" t="s">
        <v>462</v>
      </c>
      <c r="B178" s="18" t="s">
        <v>463</v>
      </c>
      <c r="C178" s="16">
        <v>50</v>
      </c>
      <c r="D178" s="12" t="s">
        <v>189</v>
      </c>
    </row>
    <row r="179" spans="1:4" ht="16.350000000000001" customHeight="1">
      <c r="A179" s="10" t="s">
        <v>464</v>
      </c>
      <c r="B179" s="18" t="s">
        <v>465</v>
      </c>
      <c r="C179" s="16">
        <v>15</v>
      </c>
      <c r="D179" s="12" t="s">
        <v>183</v>
      </c>
    </row>
    <row r="180" spans="1:4" ht="16.350000000000001" customHeight="1">
      <c r="A180" s="10" t="s">
        <v>466</v>
      </c>
      <c r="B180" s="18" t="s">
        <v>467</v>
      </c>
      <c r="C180" s="16">
        <v>20</v>
      </c>
      <c r="D180" s="12" t="s">
        <v>183</v>
      </c>
    </row>
    <row r="181" spans="1:4" ht="16.350000000000001" customHeight="1">
      <c r="A181" s="10" t="s">
        <v>468</v>
      </c>
      <c r="B181" s="18" t="s">
        <v>469</v>
      </c>
      <c r="C181" s="16">
        <v>2</v>
      </c>
      <c r="D181" s="12" t="s">
        <v>183</v>
      </c>
    </row>
    <row r="182" spans="1:4" ht="16.350000000000001" customHeight="1">
      <c r="A182" s="10" t="s">
        <v>470</v>
      </c>
      <c r="B182" s="18" t="s">
        <v>471</v>
      </c>
      <c r="C182" s="16">
        <v>3</v>
      </c>
      <c r="D182" s="12" t="s">
        <v>183</v>
      </c>
    </row>
    <row r="183" spans="1:4" ht="16.350000000000001" customHeight="1">
      <c r="A183" s="10" t="s">
        <v>472</v>
      </c>
      <c r="B183" s="18" t="s">
        <v>473</v>
      </c>
      <c r="C183" s="16">
        <v>8</v>
      </c>
      <c r="D183" s="12" t="s">
        <v>177</v>
      </c>
    </row>
    <row r="184" spans="1:4" ht="16.350000000000001" customHeight="1">
      <c r="A184" s="10" t="s">
        <v>474</v>
      </c>
      <c r="B184" s="18" t="s">
        <v>475</v>
      </c>
      <c r="C184" s="16">
        <v>6</v>
      </c>
      <c r="D184" s="12" t="s">
        <v>177</v>
      </c>
    </row>
    <row r="185" spans="1:4" ht="16.350000000000001" customHeight="1">
      <c r="A185" s="10" t="s">
        <v>476</v>
      </c>
      <c r="B185" s="18" t="s">
        <v>477</v>
      </c>
      <c r="C185" s="16">
        <v>3</v>
      </c>
      <c r="D185" s="12" t="s">
        <v>177</v>
      </c>
    </row>
    <row r="186" spans="1:4" ht="16.350000000000001" customHeight="1">
      <c r="A186" s="10" t="s">
        <v>478</v>
      </c>
      <c r="B186" s="18" t="s">
        <v>479</v>
      </c>
      <c r="C186" s="16">
        <v>1</v>
      </c>
      <c r="D186" s="12" t="s">
        <v>177</v>
      </c>
    </row>
    <row r="187" spans="1:4" ht="16.350000000000001" customHeight="1">
      <c r="A187" s="10" t="s">
        <v>480</v>
      </c>
      <c r="B187" s="18" t="s">
        <v>481</v>
      </c>
      <c r="C187" s="16">
        <v>2</v>
      </c>
      <c r="D187" s="12" t="s">
        <v>183</v>
      </c>
    </row>
    <row r="188" spans="1:4" ht="16.350000000000001" customHeight="1">
      <c r="A188" s="10" t="s">
        <v>482</v>
      </c>
      <c r="B188" s="18" t="s">
        <v>483</v>
      </c>
      <c r="C188" s="16">
        <v>2</v>
      </c>
      <c r="D188" s="12" t="s">
        <v>183</v>
      </c>
    </row>
    <row r="189" spans="1:4" ht="16.350000000000001" customHeight="1">
      <c r="A189" s="10" t="s">
        <v>484</v>
      </c>
      <c r="B189" s="18" t="s">
        <v>485</v>
      </c>
      <c r="C189" s="16">
        <v>3</v>
      </c>
      <c r="D189" s="12" t="s">
        <v>183</v>
      </c>
    </row>
    <row r="190" spans="1:4" ht="16.350000000000001" customHeight="1">
      <c r="A190" s="10" t="s">
        <v>486</v>
      </c>
      <c r="B190" s="18" t="s">
        <v>487</v>
      </c>
      <c r="C190" s="16">
        <v>3</v>
      </c>
      <c r="D190" s="12" t="s">
        <v>183</v>
      </c>
    </row>
    <row r="191" spans="1:4" ht="16.350000000000001" customHeight="1">
      <c r="A191" s="10" t="s">
        <v>488</v>
      </c>
      <c r="B191" s="18" t="s">
        <v>489</v>
      </c>
      <c r="C191" s="16">
        <v>4</v>
      </c>
      <c r="D191" s="12" t="s">
        <v>183</v>
      </c>
    </row>
    <row r="192" spans="1:4" ht="16.350000000000001" customHeight="1">
      <c r="A192" s="10" t="s">
        <v>490</v>
      </c>
      <c r="B192" s="18" t="s">
        <v>491</v>
      </c>
      <c r="C192" s="16">
        <v>4</v>
      </c>
      <c r="D192" s="12" t="s">
        <v>183</v>
      </c>
    </row>
    <row r="193" spans="1:4" ht="16.350000000000001" customHeight="1">
      <c r="A193" s="10" t="s">
        <v>492</v>
      </c>
      <c r="B193" s="18" t="s">
        <v>493</v>
      </c>
      <c r="C193" s="16">
        <v>8</v>
      </c>
      <c r="D193" s="12" t="s">
        <v>183</v>
      </c>
    </row>
    <row r="194" spans="1:4" ht="16.350000000000001" customHeight="1">
      <c r="A194" s="10" t="s">
        <v>494</v>
      </c>
      <c r="B194" s="18" t="s">
        <v>495</v>
      </c>
      <c r="C194" s="16">
        <v>1</v>
      </c>
      <c r="D194" s="12" t="s">
        <v>183</v>
      </c>
    </row>
    <row r="195" spans="1:4" ht="16.350000000000001" customHeight="1">
      <c r="A195" s="10" t="s">
        <v>496</v>
      </c>
      <c r="B195" s="18" t="s">
        <v>497</v>
      </c>
      <c r="C195" s="16">
        <v>3</v>
      </c>
      <c r="D195" s="12" t="s">
        <v>183</v>
      </c>
    </row>
    <row r="196" spans="1:4" ht="16.350000000000001" customHeight="1">
      <c r="A196" s="10" t="s">
        <v>498</v>
      </c>
      <c r="B196" s="18" t="s">
        <v>499</v>
      </c>
      <c r="C196" s="16">
        <v>6</v>
      </c>
      <c r="D196" s="12" t="s">
        <v>183</v>
      </c>
    </row>
    <row r="197" spans="1:4" ht="16.350000000000001" customHeight="1">
      <c r="A197" s="10" t="s">
        <v>500</v>
      </c>
      <c r="B197" s="18" t="s">
        <v>501</v>
      </c>
      <c r="C197" s="16">
        <v>2</v>
      </c>
      <c r="D197" s="12" t="s">
        <v>183</v>
      </c>
    </row>
    <row r="198" spans="1:4" ht="16.350000000000001" customHeight="1">
      <c r="A198" s="10" t="s">
        <v>502</v>
      </c>
      <c r="B198" s="18" t="s">
        <v>503</v>
      </c>
      <c r="C198" s="16">
        <v>1</v>
      </c>
      <c r="D198" s="12" t="s">
        <v>183</v>
      </c>
    </row>
    <row r="199" spans="1:4" ht="16.350000000000001" customHeight="1">
      <c r="A199" s="10" t="s">
        <v>504</v>
      </c>
      <c r="B199" s="18" t="s">
        <v>505</v>
      </c>
      <c r="C199" s="16">
        <v>3</v>
      </c>
      <c r="D199" s="12" t="s">
        <v>183</v>
      </c>
    </row>
    <row r="200" spans="1:4" ht="16.350000000000001" customHeight="1">
      <c r="A200" s="10" t="s">
        <v>506</v>
      </c>
      <c r="B200" s="18" t="s">
        <v>507</v>
      </c>
      <c r="C200" s="16">
        <v>4</v>
      </c>
      <c r="D200" s="12" t="s">
        <v>183</v>
      </c>
    </row>
    <row r="201" spans="1:4" ht="16.350000000000001" customHeight="1">
      <c r="A201" s="10" t="s">
        <v>508</v>
      </c>
      <c r="B201" s="18" t="s">
        <v>509</v>
      </c>
      <c r="C201" s="16">
        <v>4</v>
      </c>
      <c r="D201" s="12" t="s">
        <v>183</v>
      </c>
    </row>
    <row r="202" spans="1:4" ht="16.350000000000001" customHeight="1">
      <c r="A202" s="10" t="s">
        <v>510</v>
      </c>
      <c r="B202" s="18" t="s">
        <v>511</v>
      </c>
      <c r="C202" s="16">
        <v>1</v>
      </c>
      <c r="D202" s="12" t="s">
        <v>183</v>
      </c>
    </row>
    <row r="203" spans="1:4" ht="16.350000000000001" customHeight="1">
      <c r="A203" s="10" t="s">
        <v>512</v>
      </c>
      <c r="B203" s="18" t="s">
        <v>513</v>
      </c>
      <c r="C203" s="16">
        <v>1</v>
      </c>
      <c r="D203" s="12" t="s">
        <v>183</v>
      </c>
    </row>
    <row r="204" spans="1:4" ht="16.350000000000001" customHeight="1">
      <c r="A204" s="10" t="s">
        <v>514</v>
      </c>
      <c r="B204" s="18" t="s">
        <v>515</v>
      </c>
      <c r="C204" s="16">
        <v>1</v>
      </c>
      <c r="D204" s="12" t="s">
        <v>183</v>
      </c>
    </row>
    <row r="205" spans="1:4" ht="16.350000000000001" customHeight="1">
      <c r="A205" s="10" t="s">
        <v>516</v>
      </c>
      <c r="B205" s="18" t="s">
        <v>517</v>
      </c>
      <c r="C205" s="16">
        <v>1</v>
      </c>
      <c r="D205" s="12" t="s">
        <v>183</v>
      </c>
    </row>
    <row r="206" spans="1:4" ht="16.350000000000001" customHeight="1">
      <c r="A206" s="10" t="s">
        <v>518</v>
      </c>
      <c r="B206" s="18" t="s">
        <v>519</v>
      </c>
      <c r="C206" s="16">
        <v>4</v>
      </c>
      <c r="D206" s="12" t="s">
        <v>183</v>
      </c>
    </row>
    <row r="207" spans="1:4" ht="16.350000000000001" customHeight="1">
      <c r="A207" s="10" t="s">
        <v>520</v>
      </c>
      <c r="B207" s="18" t="s">
        <v>521</v>
      </c>
      <c r="C207" s="16">
        <v>1</v>
      </c>
      <c r="D207" s="12" t="s">
        <v>183</v>
      </c>
    </row>
    <row r="208" spans="1:4" ht="16.350000000000001" customHeight="1">
      <c r="A208" s="10" t="s">
        <v>522</v>
      </c>
      <c r="B208" s="18" t="s">
        <v>523</v>
      </c>
      <c r="C208" s="16">
        <v>2</v>
      </c>
      <c r="D208" s="12" t="s">
        <v>183</v>
      </c>
    </row>
    <row r="209" spans="1:4" ht="16.350000000000001" customHeight="1">
      <c r="A209" s="10" t="s">
        <v>524</v>
      </c>
      <c r="B209" s="18" t="s">
        <v>525</v>
      </c>
      <c r="C209" s="16">
        <v>1</v>
      </c>
      <c r="D209" s="12" t="s">
        <v>183</v>
      </c>
    </row>
    <row r="210" spans="1:4" ht="16.350000000000001" customHeight="1">
      <c r="A210" s="10" t="s">
        <v>526</v>
      </c>
      <c r="B210" s="18" t="s">
        <v>527</v>
      </c>
      <c r="C210" s="16">
        <v>1</v>
      </c>
      <c r="D210" s="12" t="s">
        <v>183</v>
      </c>
    </row>
    <row r="211" spans="1:4" ht="16.350000000000001" customHeight="1">
      <c r="A211" s="10" t="s">
        <v>528</v>
      </c>
      <c r="B211" s="18" t="s">
        <v>529</v>
      </c>
      <c r="C211" s="16">
        <v>2</v>
      </c>
      <c r="D211" s="12" t="s">
        <v>183</v>
      </c>
    </row>
    <row r="212" spans="1:4" ht="16.350000000000001" customHeight="1">
      <c r="A212" s="10" t="s">
        <v>530</v>
      </c>
      <c r="B212" s="18" t="s">
        <v>531</v>
      </c>
      <c r="C212" s="16">
        <v>4</v>
      </c>
      <c r="D212" s="12" t="s">
        <v>183</v>
      </c>
    </row>
    <row r="213" spans="1:4" ht="16.350000000000001" customHeight="1">
      <c r="A213" s="10" t="s">
        <v>532</v>
      </c>
      <c r="B213" s="18" t="s">
        <v>533</v>
      </c>
      <c r="C213" s="16">
        <v>3</v>
      </c>
      <c r="D213" s="12" t="s">
        <v>183</v>
      </c>
    </row>
    <row r="214" spans="1:4" ht="16.350000000000001" customHeight="1">
      <c r="A214" s="10" t="s">
        <v>534</v>
      </c>
      <c r="B214" s="18" t="s">
        <v>535</v>
      </c>
      <c r="C214" s="16">
        <v>1</v>
      </c>
      <c r="D214" s="12" t="s">
        <v>183</v>
      </c>
    </row>
    <row r="215" spans="1:4" ht="16.350000000000001" customHeight="1">
      <c r="A215" s="10" t="s">
        <v>536</v>
      </c>
      <c r="B215" s="18" t="s">
        <v>537</v>
      </c>
      <c r="C215" s="16">
        <v>1</v>
      </c>
      <c r="D215" s="12" t="s">
        <v>183</v>
      </c>
    </row>
    <row r="216" spans="1:4" ht="16.350000000000001" customHeight="1">
      <c r="A216" s="10" t="s">
        <v>538</v>
      </c>
      <c r="B216" s="18" t="s">
        <v>539</v>
      </c>
      <c r="C216" s="16">
        <v>1</v>
      </c>
      <c r="D216" s="12" t="s">
        <v>183</v>
      </c>
    </row>
    <row r="217" spans="1:4" ht="16.350000000000001" customHeight="1">
      <c r="A217" s="10" t="s">
        <v>540</v>
      </c>
      <c r="B217" s="18" t="s">
        <v>541</v>
      </c>
      <c r="C217" s="16">
        <v>4</v>
      </c>
      <c r="D217" s="12" t="s">
        <v>183</v>
      </c>
    </row>
    <row r="218" spans="1:4" ht="16.350000000000001" customHeight="1">
      <c r="A218" s="10" t="s">
        <v>542</v>
      </c>
      <c r="B218" s="18" t="s">
        <v>543</v>
      </c>
      <c r="C218" s="16">
        <v>6</v>
      </c>
      <c r="D218" s="12" t="s">
        <v>183</v>
      </c>
    </row>
    <row r="219" spans="1:4" ht="16.350000000000001" customHeight="1">
      <c r="A219" s="10" t="s">
        <v>544</v>
      </c>
      <c r="B219" s="18" t="s">
        <v>545</v>
      </c>
      <c r="C219" s="16">
        <v>4</v>
      </c>
      <c r="D219" s="12" t="s">
        <v>183</v>
      </c>
    </row>
    <row r="220" spans="1:4" ht="16.350000000000001" customHeight="1">
      <c r="A220" s="10" t="s">
        <v>546</v>
      </c>
      <c r="B220" s="18" t="s">
        <v>547</v>
      </c>
      <c r="C220" s="16">
        <v>6</v>
      </c>
      <c r="D220" s="12" t="s">
        <v>183</v>
      </c>
    </row>
    <row r="221" spans="1:4" ht="16.350000000000001" customHeight="1">
      <c r="A221" s="10" t="s">
        <v>548</v>
      </c>
      <c r="B221" s="18" t="s">
        <v>549</v>
      </c>
      <c r="C221" s="16">
        <v>1</v>
      </c>
      <c r="D221" s="12" t="s">
        <v>183</v>
      </c>
    </row>
    <row r="222" spans="1:4" ht="16.350000000000001" customHeight="1">
      <c r="A222" s="7"/>
      <c r="B222" s="8" t="s">
        <v>550</v>
      </c>
      <c r="C222" s="9"/>
      <c r="D222" s="7"/>
    </row>
    <row r="223" spans="1:4" ht="16.350000000000001" customHeight="1">
      <c r="A223" s="10" t="s">
        <v>551</v>
      </c>
      <c r="B223" s="11" t="s">
        <v>552</v>
      </c>
      <c r="C223" s="16">
        <v>2</v>
      </c>
      <c r="D223" s="12" t="s">
        <v>553</v>
      </c>
    </row>
    <row r="224" spans="1:4" ht="16.350000000000001" customHeight="1">
      <c r="A224" s="10" t="s">
        <v>551</v>
      </c>
      <c r="B224" s="11" t="s">
        <v>554</v>
      </c>
      <c r="C224" s="16">
        <v>2</v>
      </c>
      <c r="D224" s="12" t="s">
        <v>553</v>
      </c>
    </row>
    <row r="225" spans="1:4" ht="16.350000000000001" customHeight="1">
      <c r="A225" s="10" t="s">
        <v>555</v>
      </c>
      <c r="B225" s="11" t="s">
        <v>556</v>
      </c>
      <c r="C225" s="16">
        <v>2</v>
      </c>
      <c r="D225" s="12" t="s">
        <v>553</v>
      </c>
    </row>
    <row r="226" spans="1:4" ht="16.350000000000001" customHeight="1">
      <c r="A226" s="10" t="s">
        <v>557</v>
      </c>
      <c r="B226" s="11" t="s">
        <v>558</v>
      </c>
      <c r="C226" s="16">
        <v>2</v>
      </c>
      <c r="D226" s="12" t="s">
        <v>183</v>
      </c>
    </row>
    <row r="227" spans="1:4" ht="16.350000000000001" customHeight="1">
      <c r="A227" s="10" t="s">
        <v>559</v>
      </c>
      <c r="B227" s="11" t="s">
        <v>560</v>
      </c>
      <c r="C227" s="16">
        <v>4</v>
      </c>
      <c r="D227" s="12" t="s">
        <v>183</v>
      </c>
    </row>
    <row r="228" spans="1:4" ht="16.350000000000001" customHeight="1">
      <c r="A228" s="10" t="s">
        <v>561</v>
      </c>
      <c r="B228" s="11" t="s">
        <v>562</v>
      </c>
      <c r="C228" s="16">
        <v>500</v>
      </c>
      <c r="D228" s="12" t="s">
        <v>183</v>
      </c>
    </row>
    <row r="229" spans="1:4" ht="16.350000000000001" customHeight="1">
      <c r="A229" s="7"/>
      <c r="B229" s="8" t="s">
        <v>563</v>
      </c>
      <c r="C229" s="9"/>
      <c r="D229" s="7"/>
    </row>
    <row r="230" spans="1:4" ht="16.350000000000001" customHeight="1">
      <c r="A230" s="10" t="s">
        <v>564</v>
      </c>
      <c r="B230" s="19" t="s">
        <v>565</v>
      </c>
      <c r="C230" s="16">
        <v>5</v>
      </c>
      <c r="D230" s="16" t="s">
        <v>566</v>
      </c>
    </row>
    <row r="231" spans="1:4" ht="16.350000000000001" customHeight="1">
      <c r="A231" s="10" t="s">
        <v>567</v>
      </c>
      <c r="B231" s="19" t="s">
        <v>568</v>
      </c>
      <c r="C231" s="16">
        <v>3</v>
      </c>
      <c r="D231" s="16" t="s">
        <v>566</v>
      </c>
    </row>
    <row r="232" spans="1:4" ht="16.350000000000001" customHeight="1">
      <c r="A232" s="10" t="s">
        <v>569</v>
      </c>
      <c r="B232" s="19" t="s">
        <v>570</v>
      </c>
      <c r="C232" s="16">
        <v>2</v>
      </c>
      <c r="D232" s="16" t="s">
        <v>566</v>
      </c>
    </row>
    <row r="233" spans="1:4" ht="16.350000000000001" customHeight="1">
      <c r="A233" s="10" t="s">
        <v>571</v>
      </c>
      <c r="B233" s="19" t="s">
        <v>572</v>
      </c>
      <c r="C233" s="16">
        <v>3</v>
      </c>
      <c r="D233" s="16" t="s">
        <v>566</v>
      </c>
    </row>
    <row r="234" spans="1:4" ht="16.350000000000001" customHeight="1">
      <c r="A234" s="10" t="s">
        <v>573</v>
      </c>
      <c r="B234" s="19" t="s">
        <v>574</v>
      </c>
      <c r="C234" s="16">
        <v>5</v>
      </c>
      <c r="D234" s="16" t="s">
        <v>575</v>
      </c>
    </row>
    <row r="235" spans="1:4" ht="16.350000000000001" customHeight="1">
      <c r="A235" s="10" t="s">
        <v>576</v>
      </c>
      <c r="B235" s="19" t="s">
        <v>577</v>
      </c>
      <c r="C235" s="16">
        <v>1</v>
      </c>
      <c r="D235" s="16" t="s">
        <v>566</v>
      </c>
    </row>
    <row r="236" spans="1:4" ht="16.350000000000001" customHeight="1">
      <c r="A236" s="10" t="s">
        <v>578</v>
      </c>
      <c r="B236" s="19" t="s">
        <v>579</v>
      </c>
      <c r="C236" s="16">
        <v>3</v>
      </c>
      <c r="D236" s="16" t="s">
        <v>566</v>
      </c>
    </row>
    <row r="237" spans="1:4" ht="16.350000000000001" customHeight="1">
      <c r="A237" s="10" t="s">
        <v>580</v>
      </c>
      <c r="B237" s="19" t="s">
        <v>581</v>
      </c>
      <c r="C237" s="16">
        <v>3</v>
      </c>
      <c r="D237" s="16" t="s">
        <v>566</v>
      </c>
    </row>
    <row r="238" spans="1:4" ht="16.350000000000001" customHeight="1">
      <c r="A238" s="10" t="s">
        <v>582</v>
      </c>
      <c r="B238" s="19" t="s">
        <v>583</v>
      </c>
      <c r="C238" s="16">
        <v>1</v>
      </c>
      <c r="D238" s="16" t="s">
        <v>566</v>
      </c>
    </row>
    <row r="239" spans="1:4" ht="16.350000000000001" customHeight="1">
      <c r="A239" s="10" t="s">
        <v>584</v>
      </c>
      <c r="B239" s="19" t="s">
        <v>585</v>
      </c>
      <c r="C239" s="16">
        <v>9</v>
      </c>
      <c r="D239" s="16" t="s">
        <v>566</v>
      </c>
    </row>
    <row r="240" spans="1:4" ht="16.350000000000001" customHeight="1">
      <c r="A240" s="10" t="s">
        <v>586</v>
      </c>
      <c r="B240" s="19" t="s">
        <v>587</v>
      </c>
      <c r="C240" s="16">
        <v>5</v>
      </c>
      <c r="D240" s="16" t="s">
        <v>566</v>
      </c>
    </row>
    <row r="241" spans="1:4" ht="16.350000000000001" customHeight="1">
      <c r="A241" s="10" t="s">
        <v>588</v>
      </c>
      <c r="B241" s="19" t="s">
        <v>589</v>
      </c>
      <c r="C241" s="16">
        <v>1</v>
      </c>
      <c r="D241" s="16" t="s">
        <v>590</v>
      </c>
    </row>
    <row r="242" spans="1:4" ht="16.350000000000001" customHeight="1">
      <c r="A242" s="10" t="s">
        <v>591</v>
      </c>
      <c r="B242" s="19" t="s">
        <v>592</v>
      </c>
      <c r="C242" s="16">
        <v>1</v>
      </c>
      <c r="D242" s="16" t="s">
        <v>590</v>
      </c>
    </row>
    <row r="243" spans="1:4" ht="16.350000000000001" customHeight="1">
      <c r="A243" s="10" t="s">
        <v>593</v>
      </c>
      <c r="B243" s="19" t="s">
        <v>594</v>
      </c>
      <c r="C243" s="16">
        <v>1</v>
      </c>
      <c r="D243" s="16" t="s">
        <v>590</v>
      </c>
    </row>
    <row r="244" spans="1:4" ht="16.350000000000001" customHeight="1">
      <c r="A244" s="10" t="s">
        <v>595</v>
      </c>
      <c r="B244" s="19" t="s">
        <v>596</v>
      </c>
      <c r="C244" s="16">
        <v>1</v>
      </c>
      <c r="D244" s="16" t="s">
        <v>566</v>
      </c>
    </row>
    <row r="245" spans="1:4" ht="16.350000000000001" customHeight="1">
      <c r="A245" s="10" t="s">
        <v>597</v>
      </c>
      <c r="B245" s="19" t="s">
        <v>598</v>
      </c>
      <c r="C245" s="16">
        <v>4</v>
      </c>
      <c r="D245" s="16" t="s">
        <v>566</v>
      </c>
    </row>
    <row r="246" spans="1:4" ht="16.350000000000001" customHeight="1">
      <c r="A246" s="10" t="s">
        <v>599</v>
      </c>
      <c r="B246" s="19" t="s">
        <v>600</v>
      </c>
      <c r="C246" s="16">
        <v>6</v>
      </c>
      <c r="D246" s="16" t="s">
        <v>566</v>
      </c>
    </row>
    <row r="247" spans="1:4" ht="16.350000000000001" customHeight="1">
      <c r="A247" s="10" t="s">
        <v>601</v>
      </c>
      <c r="B247" s="19" t="s">
        <v>602</v>
      </c>
      <c r="C247" s="16">
        <v>30</v>
      </c>
      <c r="D247" s="16" t="s">
        <v>603</v>
      </c>
    </row>
    <row r="248" spans="1:4" ht="16.350000000000001" customHeight="1">
      <c r="A248" s="10" t="s">
        <v>604</v>
      </c>
      <c r="B248" s="19" t="s">
        <v>605</v>
      </c>
      <c r="C248" s="16">
        <v>20</v>
      </c>
      <c r="D248" s="16" t="s">
        <v>603</v>
      </c>
    </row>
    <row r="249" spans="1:4" ht="16.350000000000001" customHeight="1">
      <c r="A249" s="10" t="s">
        <v>606</v>
      </c>
      <c r="B249" s="19" t="s">
        <v>607</v>
      </c>
      <c r="C249" s="16">
        <v>10</v>
      </c>
      <c r="D249" s="16" t="s">
        <v>603</v>
      </c>
    </row>
    <row r="250" spans="1:4" ht="16.350000000000001" customHeight="1">
      <c r="A250" s="10" t="s">
        <v>608</v>
      </c>
      <c r="B250" s="19" t="s">
        <v>609</v>
      </c>
      <c r="C250" s="16">
        <v>100</v>
      </c>
      <c r="D250" s="16" t="s">
        <v>603</v>
      </c>
    </row>
    <row r="251" spans="1:4" ht="16.350000000000001" customHeight="1">
      <c r="A251" s="10" t="s">
        <v>610</v>
      </c>
      <c r="B251" s="19" t="s">
        <v>611</v>
      </c>
      <c r="C251" s="16">
        <v>150</v>
      </c>
      <c r="D251" s="16" t="s">
        <v>603</v>
      </c>
    </row>
    <row r="252" spans="1:4" ht="16.350000000000001" customHeight="1">
      <c r="A252" s="10" t="s">
        <v>612</v>
      </c>
      <c r="B252" s="19" t="s">
        <v>613</v>
      </c>
      <c r="C252" s="16">
        <v>30</v>
      </c>
      <c r="D252" s="16" t="s">
        <v>603</v>
      </c>
    </row>
    <row r="253" spans="1:4" ht="16.350000000000001" customHeight="1">
      <c r="A253" s="10" t="s">
        <v>614</v>
      </c>
      <c r="B253" s="19" t="s">
        <v>615</v>
      </c>
      <c r="C253" s="16">
        <v>50</v>
      </c>
      <c r="D253" s="16" t="s">
        <v>603</v>
      </c>
    </row>
    <row r="254" spans="1:4" ht="16.350000000000001" customHeight="1">
      <c r="A254" s="10" t="s">
        <v>616</v>
      </c>
      <c r="B254" s="19" t="s">
        <v>617</v>
      </c>
      <c r="C254" s="16">
        <v>3</v>
      </c>
      <c r="D254" s="16" t="s">
        <v>618</v>
      </c>
    </row>
    <row r="255" spans="1:4" ht="16.350000000000001" customHeight="1">
      <c r="A255" s="10" t="s">
        <v>619</v>
      </c>
      <c r="B255" s="19" t="s">
        <v>620</v>
      </c>
      <c r="C255" s="16">
        <v>2</v>
      </c>
      <c r="D255" s="16" t="s">
        <v>618</v>
      </c>
    </row>
    <row r="256" spans="1:4" ht="16.350000000000001" customHeight="1">
      <c r="A256" s="10" t="s">
        <v>621</v>
      </c>
      <c r="B256" s="19" t="s">
        <v>622</v>
      </c>
      <c r="C256" s="16">
        <v>5</v>
      </c>
      <c r="D256" s="16" t="s">
        <v>590</v>
      </c>
    </row>
    <row r="257" spans="1:4" ht="16.350000000000001" customHeight="1">
      <c r="A257" s="10" t="s">
        <v>623</v>
      </c>
      <c r="B257" s="19" t="s">
        <v>624</v>
      </c>
      <c r="C257" s="16">
        <v>5</v>
      </c>
      <c r="D257" s="16" t="s">
        <v>590</v>
      </c>
    </row>
    <row r="258" spans="1:4" ht="16.350000000000001" customHeight="1">
      <c r="A258" s="10" t="s">
        <v>625</v>
      </c>
      <c r="B258" s="19" t="s">
        <v>626</v>
      </c>
      <c r="C258" s="16">
        <v>5</v>
      </c>
      <c r="D258" s="16" t="s">
        <v>566</v>
      </c>
    </row>
    <row r="259" spans="1:4" ht="16.350000000000001" customHeight="1">
      <c r="A259" s="10" t="s">
        <v>627</v>
      </c>
      <c r="B259" s="19" t="s">
        <v>628</v>
      </c>
      <c r="C259" s="16">
        <v>5</v>
      </c>
      <c r="D259" s="16" t="s">
        <v>566</v>
      </c>
    </row>
    <row r="260" spans="1:4" ht="16.350000000000001" customHeight="1">
      <c r="A260" s="10" t="s">
        <v>629</v>
      </c>
      <c r="B260" s="19" t="s">
        <v>630</v>
      </c>
      <c r="C260" s="16">
        <v>2</v>
      </c>
      <c r="D260" s="16" t="s">
        <v>566</v>
      </c>
    </row>
    <row r="261" spans="1:4" ht="16.350000000000001" customHeight="1">
      <c r="A261" s="10" t="s">
        <v>631</v>
      </c>
      <c r="B261" s="19" t="s">
        <v>632</v>
      </c>
      <c r="C261" s="16">
        <v>6</v>
      </c>
      <c r="D261" s="16" t="s">
        <v>566</v>
      </c>
    </row>
    <row r="262" spans="1:4" ht="16.350000000000001" customHeight="1">
      <c r="A262" s="10" t="s">
        <v>633</v>
      </c>
      <c r="B262" s="19" t="s">
        <v>634</v>
      </c>
      <c r="C262" s="16">
        <v>6</v>
      </c>
      <c r="D262" s="16" t="s">
        <v>566</v>
      </c>
    </row>
    <row r="263" spans="1:4" ht="16.350000000000001" customHeight="1">
      <c r="A263" s="10" t="s">
        <v>635</v>
      </c>
      <c r="B263" s="19" t="s">
        <v>636</v>
      </c>
      <c r="C263" s="16">
        <v>1</v>
      </c>
      <c r="D263" s="16" t="s">
        <v>590</v>
      </c>
    </row>
    <row r="264" spans="1:4" ht="16.350000000000001" customHeight="1">
      <c r="A264" s="10" t="s">
        <v>637</v>
      </c>
      <c r="B264" s="19" t="s">
        <v>638</v>
      </c>
      <c r="C264" s="16">
        <v>1</v>
      </c>
      <c r="D264" s="16" t="s">
        <v>590</v>
      </c>
    </row>
    <row r="265" spans="1:4" ht="16.350000000000001" customHeight="1">
      <c r="A265" s="10" t="s">
        <v>639</v>
      </c>
      <c r="B265" s="19" t="s">
        <v>640</v>
      </c>
      <c r="C265" s="16">
        <v>1</v>
      </c>
      <c r="D265" s="16" t="s">
        <v>590</v>
      </c>
    </row>
    <row r="266" spans="1:4" ht="16.350000000000001" customHeight="1">
      <c r="A266" s="10" t="s">
        <v>641</v>
      </c>
      <c r="B266" s="19" t="s">
        <v>642</v>
      </c>
      <c r="C266" s="16">
        <v>10</v>
      </c>
      <c r="D266" s="16" t="s">
        <v>566</v>
      </c>
    </row>
    <row r="267" spans="1:4" ht="16.350000000000001" customHeight="1">
      <c r="A267" s="10" t="s">
        <v>643</v>
      </c>
      <c r="B267" s="19" t="s">
        <v>644</v>
      </c>
      <c r="C267" s="16">
        <v>45</v>
      </c>
      <c r="D267" s="16" t="s">
        <v>566</v>
      </c>
    </row>
    <row r="268" spans="1:4" ht="16.350000000000001" customHeight="1">
      <c r="A268" s="10" t="s">
        <v>645</v>
      </c>
      <c r="B268" s="19" t="s">
        <v>646</v>
      </c>
      <c r="C268" s="16">
        <v>3</v>
      </c>
      <c r="D268" s="16" t="s">
        <v>647</v>
      </c>
    </row>
    <row r="269" spans="1:4" ht="16.350000000000001" customHeight="1">
      <c r="A269" s="10" t="s">
        <v>648</v>
      </c>
      <c r="B269" s="19" t="s">
        <v>649</v>
      </c>
      <c r="C269" s="16">
        <v>2</v>
      </c>
      <c r="D269" s="16" t="s">
        <v>647</v>
      </c>
    </row>
    <row r="270" spans="1:4" ht="16.350000000000001" customHeight="1">
      <c r="A270" s="10" t="s">
        <v>650</v>
      </c>
      <c r="B270" s="19" t="s">
        <v>651</v>
      </c>
      <c r="C270" s="16">
        <v>1</v>
      </c>
      <c r="D270" s="16" t="s">
        <v>553</v>
      </c>
    </row>
    <row r="271" spans="1:4" ht="16.350000000000001" customHeight="1">
      <c r="A271" s="10" t="s">
        <v>652</v>
      </c>
      <c r="B271" s="19" t="s">
        <v>653</v>
      </c>
      <c r="C271" s="16">
        <f t="shared" ref="C271" si="0">SUM(C234,C236:C242)</f>
        <v>28</v>
      </c>
      <c r="D271" s="16" t="s">
        <v>566</v>
      </c>
    </row>
    <row r="272" spans="1:4" ht="16.350000000000001" customHeight="1">
      <c r="A272" s="10" t="s">
        <v>654</v>
      </c>
      <c r="B272" s="19" t="s">
        <v>655</v>
      </c>
      <c r="C272" s="16">
        <v>200</v>
      </c>
      <c r="D272" s="16" t="s">
        <v>183</v>
      </c>
    </row>
    <row r="273" spans="1:4" ht="16.350000000000001" customHeight="1">
      <c r="A273" s="10" t="s">
        <v>656</v>
      </c>
      <c r="B273" s="19" t="s">
        <v>657</v>
      </c>
      <c r="C273" s="16">
        <v>200</v>
      </c>
      <c r="D273" s="16" t="s">
        <v>183</v>
      </c>
    </row>
    <row r="274" spans="1:4" ht="16.350000000000001" customHeight="1">
      <c r="A274" s="10" t="s">
        <v>236</v>
      </c>
      <c r="B274" s="19" t="s">
        <v>237</v>
      </c>
      <c r="C274" s="16">
        <v>75</v>
      </c>
      <c r="D274" s="16" t="s">
        <v>566</v>
      </c>
    </row>
    <row r="275" spans="1:4" ht="16.350000000000001" customHeight="1">
      <c r="A275" s="10" t="s">
        <v>658</v>
      </c>
      <c r="B275" s="19" t="s">
        <v>659</v>
      </c>
      <c r="C275" s="16">
        <v>5</v>
      </c>
      <c r="D275" s="16" t="s">
        <v>566</v>
      </c>
    </row>
    <row r="276" spans="1:4" ht="16.350000000000001" customHeight="1">
      <c r="A276" s="10" t="s">
        <v>660</v>
      </c>
      <c r="B276" s="19" t="s">
        <v>661</v>
      </c>
      <c r="C276" s="16">
        <v>1</v>
      </c>
      <c r="D276" s="16" t="s">
        <v>566</v>
      </c>
    </row>
    <row r="277" spans="1:4" ht="16.350000000000001" customHeight="1">
      <c r="A277" s="10" t="s">
        <v>662</v>
      </c>
      <c r="B277" s="19" t="s">
        <v>663</v>
      </c>
      <c r="C277" s="16">
        <v>1</v>
      </c>
      <c r="D277" s="16" t="s">
        <v>566</v>
      </c>
    </row>
    <row r="278" spans="1:4" ht="16.350000000000001" customHeight="1">
      <c r="A278" s="7"/>
      <c r="B278" s="8" t="s">
        <v>664</v>
      </c>
      <c r="C278" s="9"/>
      <c r="D278" s="7"/>
    </row>
    <row r="279" spans="1:4" ht="16.350000000000001" customHeight="1">
      <c r="A279" s="10" t="s">
        <v>665</v>
      </c>
      <c r="B279" s="11" t="s">
        <v>666</v>
      </c>
      <c r="C279" s="20">
        <v>10</v>
      </c>
      <c r="D279" s="12" t="s">
        <v>177</v>
      </c>
    </row>
    <row r="280" spans="1:4" ht="16.350000000000001" customHeight="1">
      <c r="A280" s="10" t="s">
        <v>667</v>
      </c>
      <c r="B280" s="11" t="s">
        <v>668</v>
      </c>
      <c r="C280" s="20">
        <v>4</v>
      </c>
      <c r="D280" s="12" t="s">
        <v>183</v>
      </c>
    </row>
    <row r="281" spans="1:4" ht="16.350000000000001" customHeight="1">
      <c r="A281" s="10" t="s">
        <v>669</v>
      </c>
      <c r="B281" s="11" t="s">
        <v>670</v>
      </c>
      <c r="C281" s="20">
        <v>2</v>
      </c>
      <c r="D281" s="12" t="s">
        <v>183</v>
      </c>
    </row>
    <row r="282" spans="1:4" ht="16.350000000000001" customHeight="1">
      <c r="A282" s="10" t="s">
        <v>671</v>
      </c>
      <c r="B282" s="19" t="s">
        <v>672</v>
      </c>
      <c r="C282" s="21">
        <v>2</v>
      </c>
      <c r="D282" s="12" t="s">
        <v>183</v>
      </c>
    </row>
    <row r="283" spans="1:4" ht="16.350000000000001" customHeight="1">
      <c r="A283" s="10" t="s">
        <v>673</v>
      </c>
      <c r="B283" s="11" t="s">
        <v>674</v>
      </c>
      <c r="C283" s="22">
        <v>13</v>
      </c>
      <c r="D283" s="12" t="s">
        <v>183</v>
      </c>
    </row>
    <row r="284" spans="1:4" ht="16.350000000000001" customHeight="1">
      <c r="A284" s="10" t="s">
        <v>675</v>
      </c>
      <c r="B284" s="19" t="s">
        <v>676</v>
      </c>
      <c r="C284" s="21">
        <v>4</v>
      </c>
      <c r="D284" s="12" t="s">
        <v>183</v>
      </c>
    </row>
    <row r="285" spans="1:4" ht="16.350000000000001" customHeight="1">
      <c r="A285" s="10" t="s">
        <v>677</v>
      </c>
      <c r="B285" s="11" t="s">
        <v>678</v>
      </c>
      <c r="C285" s="22">
        <v>8</v>
      </c>
      <c r="D285" s="12" t="s">
        <v>183</v>
      </c>
    </row>
    <row r="286" spans="1:4" ht="16.350000000000001" customHeight="1">
      <c r="A286" s="10" t="s">
        <v>679</v>
      </c>
      <c r="B286" s="11" t="s">
        <v>680</v>
      </c>
      <c r="C286" s="22">
        <v>12</v>
      </c>
      <c r="D286" s="12" t="s">
        <v>183</v>
      </c>
    </row>
    <row r="287" spans="1:4" ht="16.350000000000001" customHeight="1">
      <c r="A287" s="10" t="s">
        <v>681</v>
      </c>
      <c r="B287" s="11" t="s">
        <v>682</v>
      </c>
      <c r="C287" s="21">
        <v>6</v>
      </c>
      <c r="D287" s="12" t="s">
        <v>183</v>
      </c>
    </row>
    <row r="288" spans="1:4" ht="16.350000000000001" customHeight="1">
      <c r="A288" s="10" t="s">
        <v>683</v>
      </c>
      <c r="B288" s="11" t="s">
        <v>684</v>
      </c>
      <c r="C288" s="22">
        <v>2</v>
      </c>
      <c r="D288" s="12" t="s">
        <v>183</v>
      </c>
    </row>
    <row r="289" spans="1:4" ht="16.350000000000001" customHeight="1">
      <c r="A289" s="10" t="s">
        <v>685</v>
      </c>
      <c r="B289" s="11" t="s">
        <v>686</v>
      </c>
      <c r="C289" s="22">
        <v>3</v>
      </c>
      <c r="D289" s="12" t="s">
        <v>183</v>
      </c>
    </row>
    <row r="290" spans="1:4" ht="16.350000000000001" customHeight="1">
      <c r="A290" s="10" t="s">
        <v>687</v>
      </c>
      <c r="B290" s="11" t="s">
        <v>688</v>
      </c>
      <c r="C290" s="22">
        <v>8</v>
      </c>
      <c r="D290" s="12" t="s">
        <v>183</v>
      </c>
    </row>
    <row r="291" spans="1:4" ht="16.350000000000001" customHeight="1">
      <c r="A291" s="10" t="s">
        <v>689</v>
      </c>
      <c r="B291" s="11" t="s">
        <v>690</v>
      </c>
      <c r="C291" s="21">
        <v>30</v>
      </c>
      <c r="D291" s="12" t="s">
        <v>183</v>
      </c>
    </row>
    <row r="292" spans="1:4" ht="16.350000000000001" customHeight="1">
      <c r="A292" s="10" t="s">
        <v>691</v>
      </c>
      <c r="B292" s="11" t="s">
        <v>692</v>
      </c>
      <c r="C292" s="21">
        <v>30</v>
      </c>
      <c r="D292" s="12" t="s">
        <v>183</v>
      </c>
    </row>
    <row r="293" spans="1:4" ht="16.350000000000001" customHeight="1">
      <c r="A293" s="10" t="s">
        <v>693</v>
      </c>
      <c r="B293" s="11" t="s">
        <v>694</v>
      </c>
      <c r="C293" s="21">
        <v>16</v>
      </c>
      <c r="D293" s="12" t="s">
        <v>183</v>
      </c>
    </row>
    <row r="294" spans="1:4" ht="16.350000000000001" customHeight="1">
      <c r="A294" s="10" t="s">
        <v>695</v>
      </c>
      <c r="B294" s="18" t="s">
        <v>696</v>
      </c>
      <c r="C294" s="20">
        <v>2</v>
      </c>
      <c r="D294" s="12" t="s">
        <v>183</v>
      </c>
    </row>
    <row r="295" spans="1:4" ht="16.350000000000001" customHeight="1">
      <c r="A295" s="10" t="s">
        <v>697</v>
      </c>
      <c r="B295" s="11" t="s">
        <v>698</v>
      </c>
      <c r="C295" s="16">
        <v>1</v>
      </c>
      <c r="D295" s="12" t="s">
        <v>195</v>
      </c>
    </row>
    <row r="296" spans="1:4" ht="16.350000000000001" customHeight="1">
      <c r="A296" s="10" t="s">
        <v>699</v>
      </c>
      <c r="B296" s="11" t="s">
        <v>700</v>
      </c>
      <c r="C296" s="16">
        <v>1</v>
      </c>
      <c r="D296" s="12" t="s">
        <v>195</v>
      </c>
    </row>
    <row r="297" spans="1:4" ht="16.350000000000001" customHeight="1">
      <c r="A297" s="10" t="s">
        <v>701</v>
      </c>
      <c r="B297" s="11" t="s">
        <v>702</v>
      </c>
      <c r="C297" s="16">
        <v>8</v>
      </c>
      <c r="D297" s="12" t="s">
        <v>183</v>
      </c>
    </row>
    <row r="298" spans="1:4" ht="16.350000000000001" customHeight="1">
      <c r="A298" s="10" t="s">
        <v>703</v>
      </c>
      <c r="B298" s="11" t="s">
        <v>704</v>
      </c>
      <c r="C298" s="16">
        <v>42</v>
      </c>
      <c r="D298" s="12" t="s">
        <v>183</v>
      </c>
    </row>
    <row r="299" spans="1:4" ht="16.350000000000001" customHeight="1">
      <c r="A299" s="10" t="s">
        <v>705</v>
      </c>
      <c r="B299" s="11" t="s">
        <v>706</v>
      </c>
      <c r="C299" s="16">
        <v>42</v>
      </c>
      <c r="D299" s="12" t="s">
        <v>183</v>
      </c>
    </row>
    <row r="300" spans="1:4" ht="16.350000000000001" customHeight="1">
      <c r="A300" s="10" t="s">
        <v>707</v>
      </c>
      <c r="B300" s="11" t="s">
        <v>708</v>
      </c>
      <c r="C300" s="16">
        <v>42</v>
      </c>
      <c r="D300" s="12" t="s">
        <v>183</v>
      </c>
    </row>
    <row r="301" spans="1:4" ht="16.350000000000001" customHeight="1">
      <c r="A301" s="10" t="s">
        <v>204</v>
      </c>
      <c r="B301" s="11" t="s">
        <v>709</v>
      </c>
      <c r="C301" s="16">
        <v>3</v>
      </c>
      <c r="D301" s="12" t="s">
        <v>183</v>
      </c>
    </row>
    <row r="302" spans="1:4" ht="16.350000000000001" customHeight="1">
      <c r="A302" s="10" t="s">
        <v>210</v>
      </c>
      <c r="B302" s="11" t="s">
        <v>211</v>
      </c>
      <c r="C302" s="16">
        <v>3</v>
      </c>
      <c r="D302" s="12" t="s">
        <v>183</v>
      </c>
    </row>
    <row r="303" spans="1:4" ht="16.350000000000001" customHeight="1">
      <c r="A303" s="10" t="s">
        <v>217</v>
      </c>
      <c r="B303" s="11" t="s">
        <v>218</v>
      </c>
      <c r="C303" s="16">
        <v>1</v>
      </c>
      <c r="D303" s="12" t="s">
        <v>183</v>
      </c>
    </row>
    <row r="304" spans="1:4" ht="16.350000000000001" customHeight="1">
      <c r="A304" s="10" t="s">
        <v>710</v>
      </c>
      <c r="B304" s="68" t="s">
        <v>711</v>
      </c>
      <c r="C304" s="36">
        <v>1</v>
      </c>
      <c r="D304" s="62" t="s">
        <v>183</v>
      </c>
    </row>
    <row r="305" spans="1:4" ht="16.350000000000001" customHeight="1">
      <c r="A305" s="10"/>
      <c r="B305" s="63" t="s">
        <v>712</v>
      </c>
      <c r="C305" s="16">
        <v>1</v>
      </c>
      <c r="D305" s="12" t="s">
        <v>713</v>
      </c>
    </row>
    <row r="306" spans="1:4" ht="16.350000000000001" customHeight="1">
      <c r="A306" s="10"/>
      <c r="B306" s="63" t="s">
        <v>714</v>
      </c>
      <c r="C306" s="16">
        <v>4</v>
      </c>
      <c r="D306" s="12" t="s">
        <v>177</v>
      </c>
    </row>
    <row r="307" spans="1:4" ht="16.350000000000001" customHeight="1">
      <c r="A307" s="10" t="s">
        <v>715</v>
      </c>
      <c r="B307" s="11" t="s">
        <v>716</v>
      </c>
      <c r="C307" s="16">
        <v>28</v>
      </c>
      <c r="D307" s="12" t="s">
        <v>183</v>
      </c>
    </row>
    <row r="308" spans="1:4" ht="16.350000000000001" customHeight="1">
      <c r="A308" s="7"/>
      <c r="B308" s="8" t="s">
        <v>717</v>
      </c>
      <c r="C308" s="9"/>
      <c r="D308" s="7"/>
    </row>
    <row r="309" spans="1:4" ht="16.350000000000001" customHeight="1">
      <c r="A309" s="10" t="s">
        <v>718</v>
      </c>
      <c r="B309" s="11" t="s">
        <v>719</v>
      </c>
      <c r="C309" s="16">
        <v>1</v>
      </c>
      <c r="D309" s="12" t="s">
        <v>183</v>
      </c>
    </row>
    <row r="310" spans="1:4" ht="16.350000000000001" customHeight="1">
      <c r="A310" s="10" t="s">
        <v>720</v>
      </c>
      <c r="B310" s="11" t="s">
        <v>721</v>
      </c>
      <c r="C310" s="16">
        <v>1</v>
      </c>
      <c r="D310" s="12" t="s">
        <v>183</v>
      </c>
    </row>
    <row r="311" spans="1:4" ht="16.350000000000001" customHeight="1">
      <c r="A311" s="10" t="s">
        <v>722</v>
      </c>
      <c r="B311" s="11" t="s">
        <v>723</v>
      </c>
      <c r="C311" s="16">
        <v>1</v>
      </c>
      <c r="D311" s="12" t="s">
        <v>183</v>
      </c>
    </row>
    <row r="312" spans="1:4" ht="16.350000000000001" customHeight="1">
      <c r="A312" s="10" t="s">
        <v>724</v>
      </c>
      <c r="B312" s="11" t="s">
        <v>725</v>
      </c>
      <c r="C312" s="16">
        <v>1</v>
      </c>
      <c r="D312" s="12" t="s">
        <v>183</v>
      </c>
    </row>
    <row r="313" spans="1:4" ht="16.350000000000001" customHeight="1">
      <c r="A313" s="10" t="s">
        <v>726</v>
      </c>
      <c r="B313" s="11" t="s">
        <v>727</v>
      </c>
      <c r="C313" s="16">
        <v>1</v>
      </c>
      <c r="D313" s="12" t="s">
        <v>183</v>
      </c>
    </row>
    <row r="314" spans="1:4" ht="16.350000000000001" customHeight="1">
      <c r="A314" s="10" t="s">
        <v>728</v>
      </c>
      <c r="B314" s="11" t="s">
        <v>729</v>
      </c>
      <c r="C314" s="16">
        <v>1</v>
      </c>
      <c r="D314" s="12" t="s">
        <v>183</v>
      </c>
    </row>
    <row r="315" spans="1:4" ht="16.350000000000001" customHeight="1">
      <c r="A315" s="10" t="s">
        <v>730</v>
      </c>
      <c r="B315" s="11" t="s">
        <v>731</v>
      </c>
      <c r="C315" s="16">
        <v>1</v>
      </c>
      <c r="D315" s="12" t="s">
        <v>183</v>
      </c>
    </row>
    <row r="316" spans="1:4" ht="16.350000000000001" customHeight="1">
      <c r="A316" s="10" t="s">
        <v>732</v>
      </c>
      <c r="B316" s="11" t="s">
        <v>733</v>
      </c>
      <c r="C316" s="16">
        <v>1</v>
      </c>
      <c r="D316" s="12" t="s">
        <v>183</v>
      </c>
    </row>
    <row r="317" spans="1:4" ht="16.350000000000001" customHeight="1">
      <c r="A317" s="10" t="s">
        <v>734</v>
      </c>
      <c r="B317" s="11" t="s">
        <v>735</v>
      </c>
      <c r="C317" s="16">
        <v>1</v>
      </c>
      <c r="D317" s="12" t="s">
        <v>183</v>
      </c>
    </row>
    <row r="318" spans="1:4" ht="16.350000000000001" customHeight="1">
      <c r="A318" s="10" t="s">
        <v>736</v>
      </c>
      <c r="B318" s="11" t="s">
        <v>737</v>
      </c>
      <c r="C318" s="16">
        <v>1</v>
      </c>
      <c r="D318" s="12" t="s">
        <v>183</v>
      </c>
    </row>
    <row r="319" spans="1:4" ht="16.350000000000001" customHeight="1">
      <c r="A319" s="10" t="s">
        <v>738</v>
      </c>
      <c r="B319" s="11" t="s">
        <v>739</v>
      </c>
      <c r="C319" s="16">
        <v>1</v>
      </c>
      <c r="D319" s="12" t="s">
        <v>183</v>
      </c>
    </row>
    <row r="320" spans="1:4" ht="16.350000000000001" customHeight="1">
      <c r="A320" s="10" t="s">
        <v>740</v>
      </c>
      <c r="B320" s="11" t="s">
        <v>741</v>
      </c>
      <c r="C320" s="16">
        <v>1</v>
      </c>
      <c r="D320" s="12" t="s">
        <v>183</v>
      </c>
    </row>
    <row r="321" spans="1:4" ht="16.350000000000001" customHeight="1">
      <c r="A321" s="8"/>
      <c r="B321" s="8" t="s">
        <v>742</v>
      </c>
      <c r="C321" s="41"/>
      <c r="D321" s="23"/>
    </row>
    <row r="322" spans="1:4" ht="16.350000000000001" customHeight="1">
      <c r="A322" s="24" t="s">
        <v>743</v>
      </c>
      <c r="B322" s="25" t="s">
        <v>744</v>
      </c>
      <c r="C322" s="40">
        <v>1</v>
      </c>
      <c r="D322" s="16" t="s">
        <v>183</v>
      </c>
    </row>
    <row r="323" spans="1:4" ht="16.350000000000001" customHeight="1">
      <c r="A323" s="24" t="s">
        <v>743</v>
      </c>
      <c r="B323" s="25" t="s">
        <v>745</v>
      </c>
      <c r="C323" s="40">
        <v>3</v>
      </c>
      <c r="D323" s="16" t="s">
        <v>183</v>
      </c>
    </row>
    <row r="324" spans="1:4" ht="16.350000000000001" customHeight="1">
      <c r="A324" s="24" t="s">
        <v>743</v>
      </c>
      <c r="B324" s="25" t="s">
        <v>746</v>
      </c>
      <c r="C324" s="40">
        <v>1</v>
      </c>
      <c r="D324" s="16" t="s">
        <v>183</v>
      </c>
    </row>
    <row r="325" spans="1:4" ht="16.350000000000001" customHeight="1">
      <c r="A325" s="24" t="s">
        <v>747</v>
      </c>
      <c r="B325" s="25" t="s">
        <v>748</v>
      </c>
      <c r="C325" s="40">
        <v>1</v>
      </c>
      <c r="D325" s="16" t="s">
        <v>183</v>
      </c>
    </row>
    <row r="326" spans="1:4" ht="16.350000000000001" customHeight="1">
      <c r="A326" s="24" t="s">
        <v>749</v>
      </c>
      <c r="B326" s="25" t="s">
        <v>750</v>
      </c>
      <c r="C326" s="40">
        <v>1</v>
      </c>
      <c r="D326" s="16" t="s">
        <v>183</v>
      </c>
    </row>
    <row r="327" spans="1:4" ht="16.350000000000001" customHeight="1">
      <c r="A327" s="24" t="s">
        <v>751</v>
      </c>
      <c r="B327" s="25" t="s">
        <v>752</v>
      </c>
      <c r="C327" s="40">
        <v>2</v>
      </c>
      <c r="D327" s="16" t="s">
        <v>183</v>
      </c>
    </row>
    <row r="328" spans="1:4" ht="16.350000000000001" customHeight="1">
      <c r="A328" s="24" t="s">
        <v>753</v>
      </c>
      <c r="B328" s="25" t="s">
        <v>754</v>
      </c>
      <c r="C328" s="40">
        <v>1</v>
      </c>
      <c r="D328" s="16" t="s">
        <v>183</v>
      </c>
    </row>
    <row r="329" spans="1:4" ht="16.350000000000001" customHeight="1">
      <c r="A329" s="24" t="s">
        <v>755</v>
      </c>
      <c r="B329" s="25" t="s">
        <v>756</v>
      </c>
      <c r="C329" s="40">
        <v>1</v>
      </c>
      <c r="D329" s="16" t="s">
        <v>183</v>
      </c>
    </row>
    <row r="330" spans="1:4" ht="16.350000000000001" customHeight="1">
      <c r="A330" s="24" t="s">
        <v>757</v>
      </c>
      <c r="B330" s="25" t="s">
        <v>758</v>
      </c>
      <c r="C330" s="40">
        <v>2</v>
      </c>
      <c r="D330" s="16" t="s">
        <v>183</v>
      </c>
    </row>
    <row r="331" spans="1:4" ht="16.350000000000001" customHeight="1">
      <c r="A331" s="10" t="s">
        <v>759</v>
      </c>
      <c r="B331" s="25" t="s">
        <v>760</v>
      </c>
      <c r="C331" s="40">
        <v>1</v>
      </c>
      <c r="D331" s="16" t="s">
        <v>183</v>
      </c>
    </row>
    <row r="332" spans="1:4" ht="16.350000000000001" customHeight="1">
      <c r="A332" s="26"/>
      <c r="B332" s="27" t="s">
        <v>761</v>
      </c>
      <c r="C332" s="26"/>
      <c r="D332" s="26"/>
    </row>
    <row r="333" spans="1:4" ht="16.350000000000001" customHeight="1">
      <c r="A333" s="10" t="s">
        <v>762</v>
      </c>
      <c r="B333" s="28" t="s">
        <v>176</v>
      </c>
      <c r="C333" s="16">
        <v>3</v>
      </c>
      <c r="D333" s="16" t="s">
        <v>177</v>
      </c>
    </row>
    <row r="334" spans="1:4" ht="16.350000000000001" customHeight="1">
      <c r="A334" s="10" t="s">
        <v>762</v>
      </c>
      <c r="B334" s="28" t="s">
        <v>178</v>
      </c>
      <c r="C334" s="16">
        <v>1</v>
      </c>
      <c r="D334" s="16" t="s">
        <v>177</v>
      </c>
    </row>
    <row r="335" spans="1:4" ht="16.350000000000001" customHeight="1">
      <c r="A335" s="10" t="s">
        <v>762</v>
      </c>
      <c r="B335" s="28" t="s">
        <v>176</v>
      </c>
      <c r="C335" s="16">
        <v>5</v>
      </c>
      <c r="D335" s="16" t="s">
        <v>177</v>
      </c>
    </row>
    <row r="336" spans="1:4" ht="16.350000000000001" customHeight="1">
      <c r="A336" s="10" t="s">
        <v>763</v>
      </c>
      <c r="B336" s="28" t="s">
        <v>182</v>
      </c>
      <c r="C336" s="16">
        <v>5</v>
      </c>
      <c r="D336" s="16" t="s">
        <v>177</v>
      </c>
    </row>
    <row r="337" spans="1:4" ht="16.350000000000001" customHeight="1">
      <c r="A337" s="10" t="s">
        <v>184</v>
      </c>
      <c r="B337" s="28" t="s">
        <v>185</v>
      </c>
      <c r="C337" s="16">
        <v>100</v>
      </c>
      <c r="D337" s="16" t="s">
        <v>183</v>
      </c>
    </row>
    <row r="338" spans="1:4" ht="16.350000000000001" customHeight="1">
      <c r="A338" s="10" t="s">
        <v>187</v>
      </c>
      <c r="B338" s="28" t="s">
        <v>764</v>
      </c>
      <c r="C338" s="16">
        <v>135</v>
      </c>
      <c r="D338" s="16" t="s">
        <v>189</v>
      </c>
    </row>
    <row r="339" spans="1:4" ht="16.350000000000001" customHeight="1">
      <c r="A339" s="10" t="s">
        <v>230</v>
      </c>
      <c r="B339" s="28" t="s">
        <v>231</v>
      </c>
      <c r="C339" s="16">
        <v>4</v>
      </c>
      <c r="D339" s="16" t="s">
        <v>177</v>
      </c>
    </row>
    <row r="340" spans="1:4" ht="16.350000000000001" customHeight="1">
      <c r="A340" s="10" t="s">
        <v>242</v>
      </c>
      <c r="B340" s="28" t="s">
        <v>243</v>
      </c>
      <c r="C340" s="16">
        <v>200</v>
      </c>
      <c r="D340" s="16" t="s">
        <v>183</v>
      </c>
    </row>
    <row r="341" spans="1:4" ht="16.350000000000001" customHeight="1">
      <c r="A341" s="10" t="s">
        <v>248</v>
      </c>
      <c r="B341" s="28" t="s">
        <v>249</v>
      </c>
      <c r="C341" s="16">
        <v>500</v>
      </c>
      <c r="D341" s="16" t="s">
        <v>183</v>
      </c>
    </row>
    <row r="342" spans="1:4" ht="16.350000000000001" customHeight="1">
      <c r="A342" s="10" t="s">
        <v>252</v>
      </c>
      <c r="B342" s="28" t="s">
        <v>253</v>
      </c>
      <c r="C342" s="16">
        <v>10</v>
      </c>
      <c r="D342" s="16" t="s">
        <v>183</v>
      </c>
    </row>
    <row r="343" spans="1:4" ht="16.350000000000001" customHeight="1">
      <c r="A343" s="16" t="s">
        <v>765</v>
      </c>
      <c r="B343" s="28" t="s">
        <v>766</v>
      </c>
      <c r="C343" s="16">
        <v>14</v>
      </c>
      <c r="D343" s="16" t="s">
        <v>177</v>
      </c>
    </row>
    <row r="344" spans="1:4" ht="16.350000000000001" customHeight="1">
      <c r="A344" s="16" t="s">
        <v>767</v>
      </c>
      <c r="B344" s="28" t="s">
        <v>768</v>
      </c>
      <c r="C344" s="16">
        <v>4</v>
      </c>
      <c r="D344" s="16" t="s">
        <v>177</v>
      </c>
    </row>
    <row r="345" spans="1:4" ht="16.350000000000001" customHeight="1">
      <c r="A345" s="16" t="s">
        <v>319</v>
      </c>
      <c r="B345" s="28" t="s">
        <v>320</v>
      </c>
      <c r="C345" s="16">
        <v>200</v>
      </c>
      <c r="D345" s="16" t="s">
        <v>183</v>
      </c>
    </row>
    <row r="346" spans="1:4" ht="16.350000000000001" customHeight="1">
      <c r="A346" s="16" t="s">
        <v>324</v>
      </c>
      <c r="B346" s="28" t="s">
        <v>325</v>
      </c>
      <c r="C346" s="16">
        <v>1</v>
      </c>
      <c r="D346" s="16" t="s">
        <v>183</v>
      </c>
    </row>
    <row r="347" spans="1:4" ht="16.350000000000001" customHeight="1">
      <c r="A347" s="16" t="s">
        <v>330</v>
      </c>
      <c r="B347" s="28" t="s">
        <v>331</v>
      </c>
      <c r="C347" s="16">
        <v>1</v>
      </c>
      <c r="D347" s="16" t="s">
        <v>183</v>
      </c>
    </row>
    <row r="348" spans="1:4" ht="16.350000000000001" customHeight="1">
      <c r="A348" s="16" t="s">
        <v>334</v>
      </c>
      <c r="B348" s="28" t="s">
        <v>335</v>
      </c>
      <c r="C348" s="16">
        <v>3</v>
      </c>
      <c r="D348" s="16" t="s">
        <v>183</v>
      </c>
    </row>
    <row r="349" spans="1:4" ht="16.350000000000001" customHeight="1">
      <c r="A349" s="16" t="s">
        <v>336</v>
      </c>
      <c r="B349" s="28" t="s">
        <v>337</v>
      </c>
      <c r="C349" s="16">
        <v>1</v>
      </c>
      <c r="D349" s="16" t="s">
        <v>183</v>
      </c>
    </row>
    <row r="350" spans="1:4" ht="16.350000000000001" customHeight="1">
      <c r="A350" s="16" t="s">
        <v>340</v>
      </c>
      <c r="B350" s="28" t="s">
        <v>341</v>
      </c>
      <c r="C350" s="16">
        <v>1</v>
      </c>
      <c r="D350" s="16" t="s">
        <v>183</v>
      </c>
    </row>
    <row r="351" spans="1:4" ht="16.350000000000001" customHeight="1">
      <c r="A351" s="16" t="s">
        <v>354</v>
      </c>
      <c r="B351" s="69" t="s">
        <v>355</v>
      </c>
      <c r="C351" s="36">
        <v>1</v>
      </c>
      <c r="D351" s="36" t="s">
        <v>193</v>
      </c>
    </row>
    <row r="352" spans="1:4" ht="16.350000000000001" customHeight="1">
      <c r="A352" s="10"/>
      <c r="B352" s="64" t="s">
        <v>356</v>
      </c>
      <c r="C352" s="16">
        <v>1</v>
      </c>
      <c r="D352" s="12" t="s">
        <v>183</v>
      </c>
    </row>
    <row r="353" spans="1:4" ht="16.350000000000001" customHeight="1">
      <c r="A353" s="10"/>
      <c r="B353" s="64" t="s">
        <v>347</v>
      </c>
      <c r="C353" s="16">
        <f>ROUNDUP((C352*0.8*2+C352*0.62*2)/2.4,0)</f>
        <v>2</v>
      </c>
      <c r="D353" s="12" t="s">
        <v>177</v>
      </c>
    </row>
    <row r="354" spans="1:4" ht="16.350000000000001" customHeight="1">
      <c r="A354" s="10"/>
      <c r="B354" s="64" t="s">
        <v>348</v>
      </c>
      <c r="C354" s="16">
        <f>ROUNDUP(0.7*6*C352/6,0)</f>
        <v>1</v>
      </c>
      <c r="D354" s="12" t="s">
        <v>177</v>
      </c>
    </row>
    <row r="355" spans="1:4" ht="16.350000000000001" customHeight="1">
      <c r="A355" s="10"/>
      <c r="B355" s="64" t="s">
        <v>349</v>
      </c>
      <c r="C355" s="16">
        <f>ROUNDUP(0.8*0.7*C352,0)</f>
        <v>1</v>
      </c>
      <c r="D355" s="12" t="s">
        <v>350</v>
      </c>
    </row>
    <row r="356" spans="1:4" ht="16.350000000000001" customHeight="1">
      <c r="A356" s="10"/>
      <c r="B356" s="64" t="s">
        <v>357</v>
      </c>
      <c r="C356" s="16">
        <f>C352*5*1</f>
        <v>5</v>
      </c>
      <c r="D356" s="12" t="s">
        <v>183</v>
      </c>
    </row>
    <row r="357" spans="1:4" ht="16.350000000000001" customHeight="1">
      <c r="A357" s="10"/>
      <c r="B357" s="64" t="s">
        <v>358</v>
      </c>
      <c r="C357" s="16">
        <f>C352</f>
        <v>1</v>
      </c>
      <c r="D357" s="12" t="s">
        <v>353</v>
      </c>
    </row>
    <row r="358" spans="1:4" ht="16.350000000000001" customHeight="1">
      <c r="A358" s="16" t="s">
        <v>362</v>
      </c>
      <c r="B358" s="28" t="s">
        <v>769</v>
      </c>
      <c r="C358" s="16">
        <v>1</v>
      </c>
      <c r="D358" s="16" t="s">
        <v>177</v>
      </c>
    </row>
    <row r="359" spans="1:4" ht="16.350000000000001" customHeight="1">
      <c r="A359" s="16" t="s">
        <v>362</v>
      </c>
      <c r="B359" s="28" t="s">
        <v>770</v>
      </c>
      <c r="C359" s="16">
        <v>2</v>
      </c>
      <c r="D359" s="16" t="s">
        <v>177</v>
      </c>
    </row>
    <row r="360" spans="1:4" ht="16.350000000000001" customHeight="1">
      <c r="A360" s="16" t="s">
        <v>362</v>
      </c>
      <c r="B360" s="28" t="s">
        <v>771</v>
      </c>
      <c r="C360" s="16">
        <v>1</v>
      </c>
      <c r="D360" s="16" t="s">
        <v>177</v>
      </c>
    </row>
    <row r="361" spans="1:4" ht="16.350000000000001" customHeight="1">
      <c r="A361" s="16"/>
      <c r="B361" s="28" t="s">
        <v>772</v>
      </c>
      <c r="C361" s="16">
        <v>1</v>
      </c>
      <c r="D361" s="16" t="s">
        <v>177</v>
      </c>
    </row>
    <row r="362" spans="1:4" ht="16.350000000000001" customHeight="1">
      <c r="A362" s="16"/>
      <c r="B362" s="28" t="s">
        <v>773</v>
      </c>
      <c r="C362" s="16">
        <v>2</v>
      </c>
      <c r="D362" s="16" t="s">
        <v>177</v>
      </c>
    </row>
    <row r="363" spans="1:4" ht="16.350000000000001" customHeight="1">
      <c r="A363" s="16" t="s">
        <v>368</v>
      </c>
      <c r="B363" s="28" t="s">
        <v>369</v>
      </c>
      <c r="C363" s="16">
        <v>20</v>
      </c>
      <c r="D363" s="16" t="s">
        <v>183</v>
      </c>
    </row>
    <row r="364" spans="1:4" ht="16.350000000000001" customHeight="1">
      <c r="A364" s="16" t="s">
        <v>371</v>
      </c>
      <c r="B364" s="28" t="s">
        <v>372</v>
      </c>
      <c r="C364" s="16">
        <v>10</v>
      </c>
      <c r="D364" s="16" t="s">
        <v>183</v>
      </c>
    </row>
    <row r="365" spans="1:4" ht="16.350000000000001" customHeight="1">
      <c r="A365" s="16" t="s">
        <v>373</v>
      </c>
      <c r="B365" s="28" t="s">
        <v>374</v>
      </c>
      <c r="C365" s="16">
        <v>6</v>
      </c>
      <c r="D365" s="16" t="s">
        <v>183</v>
      </c>
    </row>
    <row r="366" spans="1:4" ht="16.350000000000001" customHeight="1">
      <c r="A366" s="16" t="s">
        <v>385</v>
      </c>
      <c r="B366" s="28" t="s">
        <v>386</v>
      </c>
      <c r="C366" s="16">
        <v>12</v>
      </c>
      <c r="D366" s="16" t="s">
        <v>177</v>
      </c>
    </row>
    <row r="367" spans="1:4" ht="16.350000000000001" customHeight="1">
      <c r="A367" s="16" t="s">
        <v>387</v>
      </c>
      <c r="B367" s="28" t="s">
        <v>388</v>
      </c>
      <c r="C367" s="16">
        <v>15</v>
      </c>
      <c r="D367" s="16" t="s">
        <v>177</v>
      </c>
    </row>
    <row r="368" spans="1:4" ht="16.350000000000001" customHeight="1">
      <c r="A368" s="16" t="s">
        <v>389</v>
      </c>
      <c r="B368" s="28" t="s">
        <v>390</v>
      </c>
      <c r="C368" s="16">
        <v>4</v>
      </c>
      <c r="D368" s="16" t="s">
        <v>177</v>
      </c>
    </row>
    <row r="369" spans="1:4" ht="16.350000000000001" customHeight="1">
      <c r="A369" s="16"/>
      <c r="B369" s="42"/>
      <c r="C369" s="16"/>
      <c r="D369" s="16"/>
    </row>
    <row r="370" spans="1:4" ht="16.350000000000001" customHeight="1">
      <c r="A370" s="16" t="s">
        <v>402</v>
      </c>
      <c r="B370" s="28" t="s">
        <v>403</v>
      </c>
      <c r="C370" s="16">
        <v>1</v>
      </c>
      <c r="D370" s="16" t="s">
        <v>183</v>
      </c>
    </row>
    <row r="371" spans="1:4" ht="16.350000000000001" customHeight="1">
      <c r="A371" s="16" t="s">
        <v>404</v>
      </c>
      <c r="B371" s="28" t="s">
        <v>405</v>
      </c>
      <c r="C371" s="16">
        <v>2</v>
      </c>
      <c r="D371" s="16" t="s">
        <v>183</v>
      </c>
    </row>
    <row r="372" spans="1:4" ht="16.350000000000001" customHeight="1">
      <c r="A372" s="16" t="s">
        <v>406</v>
      </c>
      <c r="B372" s="28" t="s">
        <v>407</v>
      </c>
      <c r="C372" s="16">
        <v>1</v>
      </c>
      <c r="D372" s="16" t="s">
        <v>183</v>
      </c>
    </row>
    <row r="373" spans="1:4" ht="16.350000000000001" customHeight="1">
      <c r="A373" s="16" t="s">
        <v>410</v>
      </c>
      <c r="B373" s="28" t="s">
        <v>411</v>
      </c>
      <c r="C373" s="16">
        <v>2</v>
      </c>
      <c r="D373" s="16" t="s">
        <v>183</v>
      </c>
    </row>
    <row r="374" spans="1:4" ht="16.350000000000001" customHeight="1">
      <c r="A374" s="16" t="s">
        <v>414</v>
      </c>
      <c r="B374" s="28" t="s">
        <v>415</v>
      </c>
      <c r="C374" s="16">
        <v>2</v>
      </c>
      <c r="D374" s="16" t="s">
        <v>183</v>
      </c>
    </row>
    <row r="375" spans="1:4" ht="16.350000000000001" customHeight="1">
      <c r="A375" s="16" t="s">
        <v>416</v>
      </c>
      <c r="B375" s="28" t="s">
        <v>774</v>
      </c>
      <c r="C375" s="16">
        <v>2</v>
      </c>
      <c r="D375" s="16" t="s">
        <v>183</v>
      </c>
    </row>
    <row r="376" spans="1:4" ht="16.350000000000001" customHeight="1">
      <c r="A376" s="16" t="s">
        <v>420</v>
      </c>
      <c r="B376" s="28" t="s">
        <v>775</v>
      </c>
      <c r="C376" s="16">
        <v>2</v>
      </c>
      <c r="D376" s="16" t="s">
        <v>183</v>
      </c>
    </row>
    <row r="377" spans="1:4" ht="16.350000000000001" customHeight="1">
      <c r="A377" s="16" t="s">
        <v>422</v>
      </c>
      <c r="B377" s="28" t="s">
        <v>423</v>
      </c>
      <c r="C377" s="16">
        <v>2</v>
      </c>
      <c r="D377" s="16" t="s">
        <v>183</v>
      </c>
    </row>
    <row r="378" spans="1:4" ht="16.350000000000001" customHeight="1">
      <c r="A378" s="16" t="s">
        <v>424</v>
      </c>
      <c r="B378" s="28" t="s">
        <v>425</v>
      </c>
      <c r="C378" s="16">
        <v>1</v>
      </c>
      <c r="D378" s="16" t="s">
        <v>183</v>
      </c>
    </row>
    <row r="379" spans="1:4" ht="16.350000000000001" customHeight="1">
      <c r="A379" s="16" t="s">
        <v>776</v>
      </c>
      <c r="B379" s="28" t="s">
        <v>777</v>
      </c>
      <c r="C379" s="16">
        <v>1</v>
      </c>
      <c r="D379" s="16" t="s">
        <v>183</v>
      </c>
    </row>
    <row r="380" spans="1:4" ht="16.350000000000001" customHeight="1">
      <c r="A380" s="16" t="s">
        <v>458</v>
      </c>
      <c r="B380" s="28" t="s">
        <v>459</v>
      </c>
      <c r="C380" s="16">
        <v>5</v>
      </c>
      <c r="D380" s="16" t="s">
        <v>189</v>
      </c>
    </row>
    <row r="381" spans="1:4" ht="16.350000000000001" customHeight="1">
      <c r="A381" s="16" t="s">
        <v>462</v>
      </c>
      <c r="B381" s="28" t="s">
        <v>463</v>
      </c>
      <c r="C381" s="16">
        <v>10</v>
      </c>
      <c r="D381" s="16" t="s">
        <v>189</v>
      </c>
    </row>
    <row r="382" spans="1:4" ht="16.350000000000001" customHeight="1">
      <c r="A382" s="16" t="s">
        <v>476</v>
      </c>
      <c r="B382" s="28" t="s">
        <v>477</v>
      </c>
      <c r="C382" s="16">
        <v>1</v>
      </c>
      <c r="D382" s="16" t="s">
        <v>177</v>
      </c>
    </row>
    <row r="383" spans="1:4" ht="16.350000000000001" customHeight="1">
      <c r="A383" s="16" t="s">
        <v>506</v>
      </c>
      <c r="B383" s="28" t="s">
        <v>507</v>
      </c>
      <c r="C383" s="16">
        <v>1</v>
      </c>
      <c r="D383" s="16" t="s">
        <v>183</v>
      </c>
    </row>
    <row r="384" spans="1:4" ht="16.350000000000001" customHeight="1">
      <c r="A384" s="16"/>
      <c r="B384" s="42"/>
      <c r="C384" s="16"/>
      <c r="D384" s="16"/>
    </row>
    <row r="385" spans="1:4" ht="16.350000000000001" customHeight="1">
      <c r="A385" s="16" t="s">
        <v>567</v>
      </c>
      <c r="B385" s="28" t="s">
        <v>778</v>
      </c>
      <c r="C385" s="16">
        <v>1</v>
      </c>
      <c r="D385" s="16" t="s">
        <v>566</v>
      </c>
    </row>
    <row r="386" spans="1:4" ht="16.350000000000001" customHeight="1">
      <c r="A386" s="16" t="s">
        <v>578</v>
      </c>
      <c r="B386" s="28" t="s">
        <v>779</v>
      </c>
      <c r="C386" s="16">
        <v>1</v>
      </c>
      <c r="D386" s="16" t="s">
        <v>566</v>
      </c>
    </row>
    <row r="387" spans="1:4" ht="16.350000000000001" customHeight="1">
      <c r="A387" s="16" t="s">
        <v>597</v>
      </c>
      <c r="B387" s="28" t="s">
        <v>598</v>
      </c>
      <c r="C387" s="16">
        <v>1</v>
      </c>
      <c r="D387" s="16" t="s">
        <v>566</v>
      </c>
    </row>
    <row r="388" spans="1:4" ht="16.350000000000001" customHeight="1">
      <c r="A388" s="16" t="s">
        <v>599</v>
      </c>
      <c r="B388" s="28" t="s">
        <v>600</v>
      </c>
      <c r="C388" s="16">
        <v>1</v>
      </c>
      <c r="D388" s="16" t="s">
        <v>566</v>
      </c>
    </row>
    <row r="389" spans="1:4" ht="16.350000000000001" customHeight="1">
      <c r="A389" s="16" t="s">
        <v>601</v>
      </c>
      <c r="B389" s="28" t="s">
        <v>602</v>
      </c>
      <c r="C389" s="16">
        <v>5</v>
      </c>
      <c r="D389" s="16" t="s">
        <v>603</v>
      </c>
    </row>
    <row r="390" spans="1:4" ht="16.350000000000001" customHeight="1">
      <c r="A390" s="16" t="s">
        <v>608</v>
      </c>
      <c r="B390" s="28" t="s">
        <v>609</v>
      </c>
      <c r="C390" s="16">
        <v>20</v>
      </c>
      <c r="D390" s="16" t="s">
        <v>603</v>
      </c>
    </row>
    <row r="391" spans="1:4" ht="16.350000000000001" customHeight="1">
      <c r="A391" s="16" t="s">
        <v>610</v>
      </c>
      <c r="B391" s="28" t="s">
        <v>611</v>
      </c>
      <c r="C391" s="16">
        <v>20</v>
      </c>
      <c r="D391" s="16" t="s">
        <v>603</v>
      </c>
    </row>
    <row r="392" spans="1:4" ht="16.350000000000001" customHeight="1">
      <c r="A392" s="16" t="s">
        <v>612</v>
      </c>
      <c r="B392" s="28" t="s">
        <v>780</v>
      </c>
      <c r="C392" s="16">
        <v>10</v>
      </c>
      <c r="D392" s="16" t="s">
        <v>603</v>
      </c>
    </row>
    <row r="393" spans="1:4" ht="16.350000000000001" customHeight="1">
      <c r="A393" s="16" t="s">
        <v>654</v>
      </c>
      <c r="B393" s="28" t="s">
        <v>655</v>
      </c>
      <c r="C393" s="16">
        <v>20</v>
      </c>
      <c r="D393" s="16" t="s">
        <v>183</v>
      </c>
    </row>
    <row r="394" spans="1:4" ht="16.350000000000001" customHeight="1">
      <c r="A394" s="16" t="s">
        <v>656</v>
      </c>
      <c r="B394" s="28" t="s">
        <v>657</v>
      </c>
      <c r="C394" s="16">
        <v>20</v>
      </c>
      <c r="D394" s="16" t="s">
        <v>183</v>
      </c>
    </row>
    <row r="395" spans="1:4" ht="16.350000000000001" customHeight="1">
      <c r="A395" s="16" t="s">
        <v>236</v>
      </c>
      <c r="B395" s="28" t="s">
        <v>237</v>
      </c>
      <c r="C395" s="16">
        <v>10</v>
      </c>
      <c r="D395" s="16" t="s">
        <v>566</v>
      </c>
    </row>
    <row r="396" spans="1:4" ht="16.350000000000001" customHeight="1">
      <c r="A396" s="16"/>
      <c r="B396" s="42"/>
      <c r="C396" s="16"/>
      <c r="D396" s="16"/>
    </row>
    <row r="397" spans="1:4" ht="16.350000000000001" customHeight="1">
      <c r="A397" s="40" t="s">
        <v>781</v>
      </c>
      <c r="B397" s="28" t="s">
        <v>782</v>
      </c>
      <c r="C397" s="16">
        <v>1</v>
      </c>
      <c r="D397" s="16" t="s">
        <v>183</v>
      </c>
    </row>
    <row r="398" spans="1:4" ht="16.350000000000001" customHeight="1">
      <c r="A398" s="40" t="s">
        <v>783</v>
      </c>
      <c r="B398" s="28" t="s">
        <v>784</v>
      </c>
      <c r="C398" s="16">
        <v>1</v>
      </c>
      <c r="D398" s="16" t="s">
        <v>183</v>
      </c>
    </row>
    <row r="399" spans="1:4" ht="16.350000000000001" customHeight="1">
      <c r="A399" s="40" t="s">
        <v>785</v>
      </c>
      <c r="B399" s="28" t="s">
        <v>786</v>
      </c>
      <c r="C399" s="16">
        <v>1</v>
      </c>
      <c r="D399" s="16" t="s">
        <v>183</v>
      </c>
    </row>
    <row r="400" spans="1:4" ht="7.5" customHeight="1">
      <c r="A400" s="38"/>
      <c r="B400" s="29"/>
      <c r="C400" s="38"/>
      <c r="D400" s="38"/>
    </row>
    <row r="403" spans="5:5" ht="23.25" customHeight="1"/>
    <row r="404" spans="5:5">
      <c r="E404" s="43"/>
    </row>
  </sheetData>
  <mergeCells count="2">
    <mergeCell ref="A1:D1"/>
    <mergeCell ref="D7:D8"/>
  </mergeCells>
  <pageMargins left="0.70866141732283472" right="0.31496062992125984" top="0.15748031496062992" bottom="0.55118110236220474" header="0.31496062992125984" footer="0.31496062992125984"/>
  <pageSetup scale="96" orientation="portrait" r:id="rId1"/>
  <headerFooter>
    <oddFooter>&amp;CPage &amp;P of 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User14</dc:creator>
  <cp:keywords/>
  <dc:description/>
  <cp:lastModifiedBy>habibullaevshaxzod24@gmail.com</cp:lastModifiedBy>
  <cp:revision/>
  <dcterms:created xsi:type="dcterms:W3CDTF">2020-02-13T23:57:03Z</dcterms:created>
  <dcterms:modified xsi:type="dcterms:W3CDTF">2026-03-19T04:51:59Z</dcterms:modified>
  <cp:category/>
  <cp:contentStatus/>
</cp:coreProperties>
</file>