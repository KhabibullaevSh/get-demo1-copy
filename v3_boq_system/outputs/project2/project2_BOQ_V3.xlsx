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Engine Truth" sheetId="2" state="visible" r:id="rId2"/>
    <sheet name="Traceability" sheetId="3" state="visible" r:id="rId3"/>
    <sheet name="Manual Review" sheetId="4" state="visible" r:id="rId4"/>
    <sheet name="QA Summary" sheetId="5" state="visible" r:id="rId5"/>
    <sheet name="Source Summary" sheetId="6" state="visible" r:id="rId6"/>
  </sheets>
  <definedNames>
    <definedName name="_xlnm._FilterDatabase" localSheetId="0" hidden="1">'BOQ'!$A$2:$H$305</definedName>
    <definedName name="_xlnm._FilterDatabase" localSheetId="1" hidden="1">'Engine Truth'!$A$2:$I$282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2C3E50"/>
      <sz val="14"/>
    </font>
    <font>
      <b val="1"/>
      <color rgb="FFFFFFFF"/>
    </font>
    <font>
      <b val="1"/>
      <color rgb="FFFFFFFF"/>
      <sz val="11"/>
    </font>
    <font>
      <b val="1"/>
      <color rgb="FFFFFFFF"/>
      <sz val="10"/>
    </font>
    <font>
      <i val="1"/>
      <color rgb="FF996600"/>
      <sz val="9"/>
    </font>
    <font>
      <b val="1"/>
      <sz val="14"/>
    </font>
    <font>
      <b val="1"/>
    </font>
  </fonts>
  <fills count="2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003D5A80"/>
      </patternFill>
    </fill>
    <fill>
      <patternFill patternType="solid">
        <fgColor rgb="005B8DB8"/>
      </patternFill>
    </fill>
    <fill>
      <patternFill patternType="solid">
        <fgColor rgb="00FEF9E7"/>
      </patternFill>
    </fill>
    <fill>
      <patternFill patternType="solid">
        <fgColor rgb="FFFCE8C3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FE0E0"/>
      </patternFill>
    </fill>
    <fill>
      <patternFill patternType="solid">
        <fgColor rgb="FFE8E8E8"/>
      </patternFill>
    </fill>
    <fill>
      <patternFill patternType="solid">
        <fgColor rgb="FFF5F5F5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CF3CF"/>
      </patternFill>
    </fill>
    <fill>
      <patternFill patternType="solid">
        <fgColor rgb="00EAF4FB"/>
      </patternFill>
    </fill>
    <fill>
      <patternFill patternType="solid">
        <fgColor rgb="00DAE8FC"/>
      </patternFill>
    </fill>
    <fill>
      <patternFill patternType="solid">
        <fgColor rgb="00F5CBA7"/>
      </patternFill>
    </fill>
    <fill>
      <patternFill patternType="solid">
        <fgColor rgb="00E8DAEF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FFFFF3CD"/>
      </patternFill>
    </fill>
  </fills>
  <borders count="13">
    <border>
      <left/>
      <right/>
      <top/>
      <bottom/>
      <diagonal/>
    </border>
    <border>
      <left style="medium">
        <color rgb="FF3D5A80"/>
      </left>
      <right style="medium">
        <color rgb="FF3D5A80"/>
      </right>
      <bottom style="medium">
        <color rgb="FF3D5A80"/>
      </bottom>
    </border>
    <border>
      <left/>
      <right style="medium">
        <color rgb="FF3D5A80"/>
      </right>
      <top/>
      <bottom/>
      <diagonal/>
    </border>
    <border>
      <left/>
      <right/>
      <top/>
      <bottom style="medium">
        <color rgb="FF3D5A80"/>
      </bottom>
      <diagonal/>
    </border>
    <border>
      <left/>
      <right style="medium">
        <color rgb="FF3D5A80"/>
      </right>
      <top/>
      <bottom style="medium">
        <color rgb="FF3D5A80"/>
      </bottom>
      <diagonal/>
    </border>
    <border>
      <left style="thin">
        <color rgb="FF2A5F8E"/>
      </left>
      <right style="thin">
        <color rgb="FF2A5F8E"/>
      </right>
      <bottom style="medium">
        <color rgb="FF2A5F8E"/>
      </bottom>
    </border>
    <border>
      <left/>
      <right style="thin">
        <color rgb="FF2A5F8E"/>
      </right>
      <top/>
      <bottom/>
      <diagonal/>
    </border>
    <border>
      <left/>
      <right/>
      <top/>
      <bottom style="medium">
        <color rgb="FF2A5F8E"/>
      </bottom>
      <diagonal/>
    </border>
    <border>
      <left/>
      <right style="thin">
        <color rgb="FF2A5F8E"/>
      </right>
      <top/>
      <bottom style="medium">
        <color rgb="FF2A5F8E"/>
      </bottom>
      <diagonal/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medium">
        <color rgb="FFCC9900"/>
      </bottom>
    </border>
    <border>
      <left/>
      <right/>
      <top/>
      <bottom style="medium">
        <color rgb="FFCC9900"/>
      </bottom>
      <diagonal/>
    </border>
    <border>
      <bottom style="thin">
        <color rgb="FF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4" fillId="4" borderId="5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5" borderId="9" pivotButton="0" quotePrefix="0" xfId="0"/>
    <xf numFmtId="0" fontId="0" fillId="5" borderId="9" applyAlignment="1" pivotButton="0" quotePrefix="0" xfId="0">
      <alignment vertical="top" wrapText="1"/>
    </xf>
    <xf numFmtId="0" fontId="0" fillId="5" borderId="9" applyAlignment="1" pivotButton="0" quotePrefix="0" xfId="0">
      <alignment horizontal="right" vertical="center"/>
    </xf>
    <xf numFmtId="0" fontId="5" fillId="6" borderId="10" pivotButton="0" quotePrefix="0" xfId="0"/>
    <xf numFmtId="0" fontId="0" fillId="0" borderId="11" pivotButton="0" quotePrefix="0" xfId="0"/>
    <xf numFmtId="0" fontId="0" fillId="7" borderId="9" pivotButton="0" quotePrefix="0" xfId="0"/>
    <xf numFmtId="0" fontId="0" fillId="7" borderId="9" applyAlignment="1" pivotButton="0" quotePrefix="0" xfId="0">
      <alignment vertical="top" wrapText="1"/>
    </xf>
    <xf numFmtId="0" fontId="0" fillId="7" borderId="9" applyAlignment="1" pivotButton="0" quotePrefix="0" xfId="0">
      <alignment horizontal="right" vertical="center"/>
    </xf>
    <xf numFmtId="0" fontId="0" fillId="8" borderId="9" pivotButton="0" quotePrefix="0" xfId="0"/>
    <xf numFmtId="0" fontId="0" fillId="8" borderId="9" applyAlignment="1" pivotButton="0" quotePrefix="0" xfId="0">
      <alignment vertical="top" wrapText="1"/>
    </xf>
    <xf numFmtId="0" fontId="0" fillId="8" borderId="9" applyAlignment="1" pivotButton="0" quotePrefix="0" xfId="0">
      <alignment horizontal="right" vertical="center"/>
    </xf>
    <xf numFmtId="0" fontId="0" fillId="9" borderId="9" pivotButton="0" quotePrefix="0" xfId="0"/>
    <xf numFmtId="0" fontId="0" fillId="9" borderId="9" applyAlignment="1" pivotButton="0" quotePrefix="0" xfId="0">
      <alignment vertical="top" wrapText="1"/>
    </xf>
    <xf numFmtId="0" fontId="0" fillId="9" borderId="9" applyAlignment="1" pivotButton="0" quotePrefix="0" xfId="0">
      <alignment horizontal="right" vertical="center"/>
    </xf>
    <xf numFmtId="0" fontId="0" fillId="10" borderId="9" pivotButton="0" quotePrefix="0" xfId="0"/>
    <xf numFmtId="0" fontId="0" fillId="10" borderId="9" applyAlignment="1" pivotButton="0" quotePrefix="0" xfId="0">
      <alignment vertical="top" wrapText="1"/>
    </xf>
    <xf numFmtId="0" fontId="0" fillId="10" borderId="9" applyAlignment="1" pivotButton="0" quotePrefix="0" xfId="0">
      <alignment horizontal="right" vertical="center"/>
    </xf>
    <xf numFmtId="0" fontId="0" fillId="11" borderId="12" pivotButton="0" quotePrefix="0" xfId="0"/>
    <xf numFmtId="0" fontId="0" fillId="12" borderId="9" pivotButton="0" quotePrefix="0" xfId="0"/>
    <xf numFmtId="0" fontId="0" fillId="12" borderId="9" applyAlignment="1" pivotButton="0" quotePrefix="0" xfId="0">
      <alignment vertical="top" wrapText="1"/>
    </xf>
    <xf numFmtId="0" fontId="0" fillId="12" borderId="9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0" fillId="13" borderId="9" pivotButton="0" quotePrefix="0" xfId="0"/>
    <xf numFmtId="0" fontId="0" fillId="13" borderId="9" applyAlignment="1" pivotButton="0" quotePrefix="0" xfId="0">
      <alignment vertical="top" wrapText="1"/>
    </xf>
    <xf numFmtId="0" fontId="0" fillId="13" borderId="9" applyAlignment="1" pivotButton="0" quotePrefix="0" xfId="0">
      <alignment horizontal="right" vertical="center"/>
    </xf>
    <xf numFmtId="0" fontId="0" fillId="14" borderId="9" pivotButton="0" quotePrefix="0" xfId="0"/>
    <xf numFmtId="0" fontId="0" fillId="14" borderId="9" applyAlignment="1" pivotButton="0" quotePrefix="0" xfId="0">
      <alignment vertical="top" wrapText="1"/>
    </xf>
    <xf numFmtId="0" fontId="0" fillId="14" borderId="9" applyAlignment="1" pivotButton="0" quotePrefix="0" xfId="0">
      <alignment horizontal="right" vertical="center"/>
    </xf>
    <xf numFmtId="0" fontId="0" fillId="15" borderId="9" pivotButton="0" quotePrefix="0" xfId="0"/>
    <xf numFmtId="0" fontId="0" fillId="15" borderId="9" applyAlignment="1" pivotButton="0" quotePrefix="0" xfId="0">
      <alignment vertical="top" wrapText="1"/>
    </xf>
    <xf numFmtId="0" fontId="0" fillId="15" borderId="9" applyAlignment="1" pivotButton="0" quotePrefix="0" xfId="0">
      <alignment horizontal="right" vertical="center"/>
    </xf>
    <xf numFmtId="0" fontId="0" fillId="16" borderId="9" pivotButton="0" quotePrefix="0" xfId="0"/>
    <xf numFmtId="0" fontId="0" fillId="16" borderId="9" applyAlignment="1" pivotButton="0" quotePrefix="0" xfId="0">
      <alignment vertical="top" wrapText="1"/>
    </xf>
    <xf numFmtId="0" fontId="0" fillId="16" borderId="9" applyAlignment="1" pivotButton="0" quotePrefix="0" xfId="0">
      <alignment horizontal="right" vertical="center"/>
    </xf>
    <xf numFmtId="0" fontId="0" fillId="17" borderId="9" pivotButton="0" quotePrefix="0" xfId="0"/>
    <xf numFmtId="0" fontId="0" fillId="17" borderId="9" applyAlignment="1" pivotButton="0" quotePrefix="0" xfId="0">
      <alignment vertical="top" wrapText="1"/>
    </xf>
    <xf numFmtId="0" fontId="0" fillId="17" borderId="9" applyAlignment="1" pivotButton="0" quotePrefix="0" xfId="0">
      <alignment horizontal="right" vertical="center"/>
    </xf>
    <xf numFmtId="0" fontId="0" fillId="18" borderId="9" pivotButton="0" quotePrefix="0" xfId="0"/>
    <xf numFmtId="0" fontId="0" fillId="18" borderId="9" applyAlignment="1" pivotButton="0" quotePrefix="0" xfId="0">
      <alignment vertical="top" wrapText="1"/>
    </xf>
    <xf numFmtId="0" fontId="0" fillId="18" borderId="9" applyAlignment="1" pivotButton="0" quotePrefix="0" xfId="0">
      <alignment horizontal="right" vertical="center"/>
    </xf>
    <xf numFmtId="0" fontId="0" fillId="19" borderId="9" pivotButton="0" quotePrefix="0" xfId="0"/>
    <xf numFmtId="0" fontId="0" fillId="19" borderId="9" applyAlignment="1" pivotButton="0" quotePrefix="0" xfId="0">
      <alignment vertical="top" wrapText="1"/>
    </xf>
    <xf numFmtId="0" fontId="0" fillId="19" borderId="9" applyAlignment="1" pivotButton="0" quotePrefix="0" xfId="0">
      <alignment horizontal="right" vertical="center"/>
    </xf>
    <xf numFmtId="0" fontId="0" fillId="20" borderId="9" pivotButton="0" quotePrefix="0" xfId="0"/>
    <xf numFmtId="0" fontId="0" fillId="20" borderId="9" applyAlignment="1" pivotButton="0" quotePrefix="0" xfId="0">
      <alignment vertical="top" wrapText="1"/>
    </xf>
    <xf numFmtId="0" fontId="0" fillId="20" borderId="9" applyAlignment="1" pivotButton="0" quotePrefix="0" xfId="0">
      <alignment horizontal="right" vertical="center"/>
    </xf>
    <xf numFmtId="0" fontId="0" fillId="21" borderId="9" pivotButton="0" quotePrefix="0" xfId="0"/>
    <xf numFmtId="0" fontId="0" fillId="21" borderId="9" applyAlignment="1" pivotButton="0" quotePrefix="0" xfId="0">
      <alignment vertical="top" wrapText="1"/>
    </xf>
    <xf numFmtId="0" fontId="0" fillId="21" borderId="9" applyAlignment="1" pivotButton="0" quotePrefix="0" xfId="0">
      <alignment horizontal="right" vertical="center"/>
    </xf>
    <xf numFmtId="0" fontId="0" fillId="22" borderId="9" pivotButton="0" quotePrefix="0" xfId="0"/>
    <xf numFmtId="0" fontId="0" fillId="22" borderId="9" applyAlignment="1" pivotButton="0" quotePrefix="0" xfId="0">
      <alignment vertical="top" wrapText="1"/>
    </xf>
    <xf numFmtId="0" fontId="0" fillId="22" borderId="9" applyAlignment="1" pivotButton="0" quotePrefix="0" xfId="0">
      <alignment horizontal="right" vertical="center"/>
    </xf>
    <xf numFmtId="0" fontId="0" fillId="0" borderId="9" applyAlignment="1" pivotButton="0" quotePrefix="0" xfId="0">
      <alignment vertical="top" wrapText="1"/>
    </xf>
    <xf numFmtId="0" fontId="0" fillId="23" borderId="9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8" customWidth="1" min="3" max="3"/>
    <col width="6" customWidth="1" min="4" max="4"/>
    <col width="10" customWidth="1" min="5" max="5"/>
    <col width="12" customWidth="1" min="6" max="6"/>
    <col width="5" customWidth="1" min="7" max="7"/>
    <col width="45" customWidth="1" min="8" max="8"/>
  </cols>
  <sheetData>
    <row r="1" ht="28" customHeight="1">
      <c r="A1" s="1" t="inlineStr">
        <is>
          <t>BILL OF QUANTITIES — project2</t>
        </is>
      </c>
    </row>
    <row r="2" ht="28" customHeight="1">
      <c r="A2" s="2" t="inlineStr">
        <is>
          <t>STOCK CODE</t>
        </is>
      </c>
      <c r="B2" s="2" t="inlineStr">
        <is>
          <t>MATERIALS DESCRIPTION</t>
        </is>
      </c>
      <c r="C2" s="2" t="inlineStr">
        <is>
          <t>QTY</t>
        </is>
      </c>
      <c r="D2" s="2" t="inlineStr">
        <is>
          <t>UNIT</t>
        </is>
      </c>
      <c r="E2" s="2" t="inlineStr">
        <is>
          <t>RATE (PGK)</t>
        </is>
      </c>
      <c r="F2" s="2" t="inlineStr">
        <is>
          <t>AMOUNT (PGK)</t>
        </is>
      </c>
      <c r="G2" s="2" t="inlineStr">
        <is>
          <t>CONF</t>
        </is>
      </c>
      <c r="H2" s="2" t="inlineStr">
        <is>
          <t>NOTES</t>
        </is>
      </c>
    </row>
    <row r="3" ht="20" customHeight="1">
      <c r="A3" s="3" t="inlineStr">
        <is>
          <t>50106</t>
        </is>
      </c>
      <c r="B3" s="4" t="n"/>
      <c r="C3" s="4" t="n"/>
      <c r="D3" s="4" t="n"/>
      <c r="E3" s="4" t="n"/>
      <c r="F3" s="4" t="n"/>
      <c r="G3" s="4" t="n"/>
      <c r="H3" s="5" t="n"/>
    </row>
    <row r="4" ht="16" customHeight="1">
      <c r="A4" s="6" t="inlineStr">
        <is>
          <t xml:space="preserve">  Trims</t>
        </is>
      </c>
      <c r="B4" s="7" t="n"/>
      <c r="C4" s="7" t="n"/>
      <c r="D4" s="7" t="n"/>
      <c r="E4" s="7" t="n"/>
      <c r="F4" s="7" t="n"/>
      <c r="G4" s="7" t="n"/>
      <c r="H4" s="8" t="n"/>
    </row>
    <row r="5">
      <c r="A5" s="9" t="inlineStr"/>
      <c r="B5" s="10" t="inlineStr">
        <is>
          <t>Timber Skirting | 25 x 75 x 2400mm Timber</t>
        </is>
      </c>
      <c r="C5" s="11" t="n">
        <v>88.3</v>
      </c>
      <c r="D5" s="9" t="inlineStr">
        <is>
          <t>lm</t>
        </is>
      </c>
      <c r="E5" s="9" t="n"/>
      <c r="F5" s="9" t="n"/>
      <c r="G5" s="9" t="inlineStr">
        <is>
          <t>M</t>
        </is>
      </c>
      <c r="H5" s="10" t="inlineStr">
        <is>
          <t>Skirting = external wall interior face + both faces of internal partitions, minus door opening widths. Door gap deductio</t>
        </is>
      </c>
    </row>
    <row r="6">
      <c r="A6" s="9" t="inlineStr"/>
      <c r="B6" s="10" t="inlineStr">
        <is>
          <t>Timber Cornice | 25 x 25 x 2400mm Timber</t>
        </is>
      </c>
      <c r="C6" s="11" t="n">
        <v>38.4</v>
      </c>
      <c r="D6" s="9" t="inlineStr">
        <is>
          <t>lm</t>
        </is>
      </c>
      <c r="E6" s="9" t="n"/>
      <c r="F6" s="9" t="n"/>
      <c r="G6" s="9" t="inlineStr">
        <is>
          <t>M</t>
        </is>
      </c>
      <c r="H6" s="10" t="inlineStr">
        <is>
          <t>Assumes cornice on external walls only. Add int_wall_lm if cornice on internal walls too.</t>
        </is>
      </c>
    </row>
    <row r="7">
      <c r="A7" s="9" t="inlineStr"/>
      <c r="B7" s="10" t="inlineStr">
        <is>
          <t>Timber Architrave | 12 x 75 x 2400mm Timber</t>
        </is>
      </c>
      <c r="C7" s="11" t="n">
        <v>88.8</v>
      </c>
      <c r="D7" s="9" t="inlineStr">
        <is>
          <t>lm</t>
        </is>
      </c>
      <c r="E7" s="9" t="n"/>
      <c r="F7" s="9" t="n"/>
      <c r="G7" s="9" t="inlineStr">
        <is>
          <t>M</t>
        </is>
      </c>
      <c r="H7" s="10" t="inlineStr">
        <is>
          <t>[Commercial total — 2 types combined: 36.0, 52.8]</t>
        </is>
      </c>
    </row>
    <row r="8" ht="14" customHeight="1">
      <c r="A8" s="12" t="inlineStr">
        <is>
          <t>▸ Items below require manual review / site confirmation</t>
        </is>
      </c>
      <c r="B8" s="13" t="n"/>
      <c r="C8" s="13" t="n"/>
      <c r="D8" s="13" t="n"/>
      <c r="E8" s="13" t="n"/>
      <c r="F8" s="13" t="n"/>
      <c r="G8" s="13" t="n"/>
      <c r="H8" s="13" t="n"/>
    </row>
    <row r="9">
      <c r="A9" s="14" t="inlineStr"/>
      <c r="B9" s="15" t="inlineStr">
        <is>
          <t>Timber Cornice | End Cap / Mitre Set</t>
        </is>
      </c>
      <c r="C9" s="16" t="n">
        <v>4</v>
      </c>
      <c r="D9" s="14" t="inlineStr">
        <is>
          <t>sets</t>
        </is>
      </c>
      <c r="E9" s="14" t="n"/>
      <c r="F9" s="14" t="n"/>
      <c r="G9" s="14" t="inlineStr">
        <is>
          <t>L</t>
        </is>
      </c>
      <c r="H9" s="15" t="inlineStr">
        <is>
          <t>MANUAL REVIEW REQUIRED. 4 internal corner mitre sets assumed for rectangular plan. Adjust if non-rectangular or if exter</t>
        </is>
      </c>
    </row>
    <row r="10" ht="16" customHeight="1">
      <c r="A10" s="6" t="inlineStr">
        <is>
          <t xml:space="preserve">  Decking</t>
        </is>
      </c>
      <c r="B10" s="7" t="n"/>
      <c r="C10" s="7" t="n"/>
      <c r="D10" s="7" t="n"/>
      <c r="E10" s="7" t="n"/>
      <c r="F10" s="7" t="n"/>
      <c r="G10" s="7" t="n"/>
      <c r="H10" s="8" t="n"/>
    </row>
    <row r="11">
      <c r="A11" s="17" t="inlineStr"/>
      <c r="B11" s="18" t="inlineStr">
        <is>
          <t>External Works | Verandah Decking</t>
        </is>
      </c>
      <c r="C11" s="19" t="n">
        <v>21.6</v>
      </c>
      <c r="D11" s="17" t="inlineStr">
        <is>
          <t>m2</t>
        </is>
      </c>
      <c r="E11" s="17" t="n"/>
      <c r="F11" s="17" t="n"/>
      <c r="G11" s="17" t="inlineStr">
        <is>
          <t>H</t>
        </is>
      </c>
      <c r="H11" s="18" t="inlineStr"/>
    </row>
    <row r="12" ht="14" customHeight="1">
      <c r="A12" s="12" t="inlineStr">
        <is>
          <t>▸ Items below require manual review / site confirmation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4" t="inlineStr"/>
      <c r="B13" s="15" t="inlineStr">
        <is>
          <t>External Works | Verandah Decking (WPC Supply)</t>
        </is>
      </c>
      <c r="C13" s="16" t="n">
        <v>22.68</v>
      </c>
      <c r="D13" s="14" t="inlineStr">
        <is>
          <t>m2</t>
        </is>
      </c>
      <c r="E13" s="14" t="n"/>
      <c r="F13" s="14" t="n"/>
      <c r="G13" s="14" t="inlineStr">
        <is>
          <t>H</t>
        </is>
      </c>
      <c r="H13" s="15" t="inlineStr">
        <is>
          <t>MANUAL REVIEW REQUIRED. WPC composite decking board supply area including 5% cut waste. Net area: 21.60 m². Supply (5% w</t>
        </is>
      </c>
    </row>
    <row r="14">
      <c r="A14" s="14" t="inlineStr"/>
      <c r="B14" s="15" t="inlineStr">
        <is>
          <t>External Works | Verandah Decking (Board Count)</t>
        </is>
      </c>
      <c r="C14" s="16" t="n">
        <v>45</v>
      </c>
      <c r="D14" s="14" t="inlineStr">
        <is>
          <t>nr</t>
        </is>
      </c>
      <c r="E14" s="14" t="n"/>
      <c r="F14" s="14" t="n"/>
      <c r="G14" s="14" t="inlineStr">
        <is>
          <t>L</t>
        </is>
      </c>
      <c r="H14" s="15" t="inlineStr">
        <is>
          <t>MANUAL REVIEW REQUIRED. Estimated WPC board count at 140mm nominal width, 3.6m stock length. 22.68 m² ÷ (0.14m × 3.6m) =</t>
        </is>
      </c>
    </row>
    <row r="15" ht="6" customHeight="1"/>
    <row r="16" ht="20" customHeight="1">
      <c r="A16" s="3" t="inlineStr">
        <is>
          <t>50107</t>
        </is>
      </c>
      <c r="B16" s="4" t="n"/>
      <c r="C16" s="4" t="n"/>
      <c r="D16" s="4" t="n"/>
      <c r="E16" s="4" t="n"/>
      <c r="F16" s="4" t="n"/>
      <c r="G16" s="4" t="n"/>
      <c r="H16" s="5" t="n"/>
    </row>
    <row r="17" ht="16" customHeight="1">
      <c r="A17" s="6" t="inlineStr">
        <is>
          <t xml:space="preserve">  Footings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9" t="inlineStr"/>
      <c r="B18" s="10" t="inlineStr">
        <is>
          <t>Substructure | Strip Footing, External Perimeter</t>
        </is>
      </c>
      <c r="C18" s="11" t="n">
        <v>38.4</v>
      </c>
      <c r="D18" s="9" t="inlineStr">
        <is>
          <t>lm</t>
        </is>
      </c>
      <c r="E18" s="9" t="n"/>
      <c r="F18" s="9" t="n"/>
      <c r="G18" s="9" t="inlineStr">
        <is>
          <t>M</t>
        </is>
      </c>
      <c r="H18" s="10" t="inlineStr">
        <is>
          <t>Strip footing assumed for steel floor frame bearing lines. Assumed 500 mm deep × 400 mm wide. Verify type and dimensions</t>
        </is>
      </c>
    </row>
    <row r="19">
      <c r="A19" s="9" t="inlineStr"/>
      <c r="B19" s="10" t="inlineStr">
        <is>
          <t>Substructure | Strip Footing, Internal Bearing</t>
        </is>
      </c>
      <c r="C19" s="11" t="n">
        <v>29.4</v>
      </c>
      <c r="D19" s="9" t="inlineStr">
        <is>
          <t>lm</t>
        </is>
      </c>
      <c r="E19" s="9" t="n"/>
      <c r="F19" s="9" t="n"/>
      <c r="G19" s="9" t="inlineStr">
        <is>
          <t>M</t>
        </is>
      </c>
      <c r="H19" s="10" t="inlineStr">
        <is>
          <t>Internal bearing lines assumed at each internal wall run. Total: 29.4 lm. Verify from structural drawings — actual beari</t>
        </is>
      </c>
    </row>
    <row r="20">
      <c r="A20" s="9" t="inlineStr"/>
      <c r="B20" s="10" t="inlineStr">
        <is>
          <t>Substructure | Strip Footing Internal Formwork</t>
        </is>
      </c>
      <c r="C20" s="11" t="n">
        <v>29.4</v>
      </c>
      <c r="D20" s="9" t="inlineStr">
        <is>
          <t>lm</t>
        </is>
      </c>
      <c r="E20" s="9" t="n"/>
      <c r="F20" s="9" t="n"/>
      <c r="G20" s="9" t="inlineStr">
        <is>
          <t>M</t>
        </is>
      </c>
      <c r="H20" s="10" t="inlineStr">
        <is>
          <t>Edge formwork for internal bearing line strip footings. Matches external formwork method (H03). Total: 29.4 lm.</t>
        </is>
      </c>
    </row>
    <row r="21">
      <c r="A21" s="9" t="inlineStr"/>
      <c r="B21" s="10" t="inlineStr">
        <is>
          <t>Substructure | Strip Footing Formwork</t>
        </is>
      </c>
      <c r="C21" s="11" t="n">
        <v>38.4</v>
      </c>
      <c r="D21" s="9" t="inlineStr">
        <is>
          <t>lm</t>
        </is>
      </c>
      <c r="E21" s="9" t="n"/>
      <c r="F21" s="9" t="n"/>
      <c r="G21" s="9" t="inlineStr">
        <is>
          <t>M</t>
        </is>
      </c>
      <c r="H21" s="10" t="inlineStr"/>
    </row>
    <row r="22">
      <c r="A22" s="9" t="inlineStr"/>
      <c r="B22" s="10" t="inlineStr">
        <is>
          <t>Substructure | Pad Footing, Concrete</t>
        </is>
      </c>
      <c r="C22" s="11" t="n">
        <v>15</v>
      </c>
      <c r="D22" s="9" t="inlineStr">
        <is>
          <t>nr</t>
        </is>
      </c>
      <c r="E22" s="9" t="n"/>
      <c r="F22" s="9" t="n"/>
      <c r="G22" s="9" t="inlineStr">
        <is>
          <t>M</t>
        </is>
      </c>
      <c r="H22" s="10" t="inlineStr"/>
    </row>
    <row r="23">
      <c r="A23" s="20" t="inlineStr"/>
      <c r="B23" s="21" t="inlineStr">
        <is>
          <t>Substructure | Bar Chair (External Footing)</t>
        </is>
      </c>
      <c r="C23" s="22" t="n">
        <v>64</v>
      </c>
      <c r="D23" s="20" t="inlineStr">
        <is>
          <t>nr</t>
        </is>
      </c>
      <c r="E23" s="20" t="n"/>
      <c r="F23" s="20" t="n"/>
      <c r="G23" s="20" t="inlineStr">
        <is>
          <t>L</t>
        </is>
      </c>
      <c r="H23" s="21" t="inlineStr">
        <is>
          <t>Bar chairs at ~600mm spacing to support Y12 reo bars in external strip footings.</t>
        </is>
      </c>
    </row>
    <row r="24">
      <c r="A24" s="20" t="inlineStr"/>
      <c r="B24" s="21" t="inlineStr">
        <is>
          <t>Substructure | Bar Chair (Internal Footing)</t>
        </is>
      </c>
      <c r="C24" s="22" t="n">
        <v>49</v>
      </c>
      <c r="D24" s="20" t="inlineStr">
        <is>
          <t>nr</t>
        </is>
      </c>
      <c r="E24" s="20" t="n"/>
      <c r="F24" s="20" t="n"/>
      <c r="G24" s="20" t="inlineStr">
        <is>
          <t>L</t>
        </is>
      </c>
      <c r="H24" s="21" t="inlineStr">
        <is>
          <t>Bar chairs at ~600mm spacing to support Y12 reo in internal strip footings.</t>
        </is>
      </c>
    </row>
    <row r="25">
      <c r="A25" s="9" t="inlineStr"/>
      <c r="B25" s="10" t="inlineStr">
        <is>
          <t>Substructure | Strip Footing Concrete Volume</t>
        </is>
      </c>
      <c r="C25" s="11" t="n">
        <v>7.68</v>
      </c>
      <c r="D25" s="9" t="inlineStr">
        <is>
          <t>m3</t>
        </is>
      </c>
      <c r="E25" s="9" t="n"/>
      <c r="F25" s="9" t="n"/>
      <c r="G25" s="9" t="inlineStr">
        <is>
          <t>M</t>
        </is>
      </c>
      <c r="H25" s="10" t="inlineStr">
        <is>
          <t>Strip footing concrete: 38.4m × 0.5m deep × 0.4m wide = 7.68m³. Dimensions from project_config — project-specific. Confi</t>
        </is>
      </c>
    </row>
    <row r="26">
      <c r="A26" s="9" t="inlineStr"/>
      <c r="B26" s="10" t="inlineStr">
        <is>
          <t>Substructure | Strip Footing Internal Concrete Volume</t>
        </is>
      </c>
      <c r="C26" s="11" t="n">
        <v>5.88</v>
      </c>
      <c r="D26" s="9" t="inlineStr">
        <is>
          <t>m3</t>
        </is>
      </c>
      <c r="E26" s="9" t="n"/>
      <c r="F26" s="9" t="n"/>
      <c r="G26" s="9" t="inlineStr">
        <is>
          <t>M</t>
        </is>
      </c>
      <c r="H26" s="10" t="inlineStr">
        <is>
          <t>Internal bearing strip footing concrete: 29.4m × 0.5m deep × 0.4m wide = 5.88m³. Dimensions from project_config — projec</t>
        </is>
      </c>
    </row>
    <row r="27">
      <c r="A27" s="9" t="inlineStr"/>
      <c r="B27" s="10" t="inlineStr">
        <is>
          <t>Substructure | Pad Footing Concrete Volume</t>
        </is>
      </c>
      <c r="C27" s="11" t="n">
        <v>5.145</v>
      </c>
      <c r="D27" s="9" t="inlineStr">
        <is>
          <t>m3</t>
        </is>
      </c>
      <c r="E27" s="9" t="n"/>
      <c r="F27" s="9" t="n"/>
      <c r="G27" s="9" t="inlineStr">
        <is>
          <t>M</t>
        </is>
      </c>
      <c r="H27" s="10" t="inlineStr">
        <is>
          <t>15 pads × 700mm × 700mm × 700mm = 5.145m³. Pad dimensions from project_config — project-specific. Confirm grade (min N25</t>
        </is>
      </c>
    </row>
    <row r="28">
      <c r="A28" s="9" t="inlineStr"/>
      <c r="B28" s="10" t="inlineStr">
        <is>
          <t>Concrete Supply — Substructure Total (all footings)</t>
        </is>
      </c>
      <c r="C28" s="11" t="n">
        <v>18.705</v>
      </c>
      <c r="D28" s="9" t="inlineStr">
        <is>
          <t>m3</t>
        </is>
      </c>
      <c r="E28" s="9" t="n"/>
      <c r="F28" s="9" t="n"/>
      <c r="G28" s="9" t="inlineStr">
        <is>
          <t>M</t>
        </is>
      </c>
      <c r="H28" s="10" t="inlineStr">
        <is>
          <t>Primary concrete family procurement total for all substructure elements. Includes: Concrete Volume(7.680m³); Concrete Vo</t>
        </is>
      </c>
    </row>
    <row r="29" ht="14" customHeight="1">
      <c r="A29" s="12" t="inlineStr">
        <is>
          <t>▸ Items below require manual review / site confirmation</t>
        </is>
      </c>
      <c r="B29" s="13" t="n"/>
      <c r="C29" s="13" t="n"/>
      <c r="D29" s="13" t="n"/>
      <c r="E29" s="13" t="n"/>
      <c r="F29" s="13" t="n"/>
      <c r="G29" s="13" t="n"/>
      <c r="H29" s="13" t="n"/>
    </row>
    <row r="30">
      <c r="A30" s="14" t="inlineStr"/>
      <c r="B30" s="15" t="inlineStr">
        <is>
          <t>Strip Footing — Reo Bar Y12 (2 bars, ext perimeter)</t>
        </is>
      </c>
      <c r="C30" s="16" t="n">
        <v>76.8</v>
      </c>
      <c r="D30" s="14" t="inlineStr">
        <is>
          <t>lm</t>
        </is>
      </c>
      <c r="E30" s="14" t="n"/>
      <c r="F30" s="14" t="n"/>
      <c r="G30" s="14" t="inlineStr">
        <is>
          <t>L</t>
        </is>
      </c>
      <c r="H30" s="15" t="inlineStr">
        <is>
          <t>MANUAL REVIEW REQUIRED. 2 × Y12 continuous bars assumed for strip footing bearing. Total: 76.8 lm = 13 × 6m stock length</t>
        </is>
      </c>
    </row>
    <row r="31">
      <c r="A31" s="14" t="inlineStr"/>
      <c r="B31" s="15" t="inlineStr">
        <is>
          <t>Substructure | Strip Footing Internal Reo Bar Y12</t>
        </is>
      </c>
      <c r="C31" s="16" t="n">
        <v>58.8</v>
      </c>
      <c r="D31" s="14" t="inlineStr">
        <is>
          <t>lm</t>
        </is>
      </c>
      <c r="E31" s="14" t="n"/>
      <c r="F31" s="14" t="n"/>
      <c r="G31" s="14" t="inlineStr">
        <is>
          <t>L</t>
        </is>
      </c>
      <c r="H31" s="15" t="inlineStr">
        <is>
          <t xml:space="preserve">MANUAL REVIEW REQUIRED. 2 × Y12 bars for internal bearing strip footings. Total: 58.8 lm = 10 × 6m lengths. Verify from </t>
        </is>
      </c>
    </row>
    <row r="32" ht="16" customHeight="1">
      <c r="A32" s="6" t="inlineStr">
        <is>
          <t xml:space="preserve">  Substructure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/>
      <c r="B33" s="10" t="inlineStr">
        <is>
          <t>DPM / Polyethylene Moisture Barrier (200µm)</t>
        </is>
      </c>
      <c r="C33" s="11" t="n">
        <v>71.28</v>
      </c>
      <c r="D33" s="9" t="inlineStr">
        <is>
          <t>m2</t>
        </is>
      </c>
      <c r="E33" s="9" t="n"/>
      <c r="F33" s="9" t="n"/>
      <c r="G33" s="9" t="inlineStr">
        <is>
          <t>M</t>
        </is>
      </c>
      <c r="H33" s="10" t="inlineStr">
        <is>
          <t>200µm polyethylene DPM beneath floor cassettes. 10% added for laps and edge tuck-under. Verify specification from struct</t>
        </is>
      </c>
    </row>
    <row r="34" ht="14" customHeight="1">
      <c r="A34" s="12" t="inlineStr">
        <is>
          <t>▸ Items below require manual review / site confirmation</t>
        </is>
      </c>
      <c r="B34" s="13" t="n"/>
      <c r="C34" s="13" t="n"/>
      <c r="D34" s="13" t="n"/>
      <c r="E34" s="13" t="n"/>
      <c r="F34" s="13" t="n"/>
      <c r="G34" s="13" t="n"/>
      <c r="H34" s="13" t="n"/>
    </row>
    <row r="35">
      <c r="A35" s="14" t="inlineStr"/>
      <c r="B35" s="15" t="inlineStr">
        <is>
          <t>Termite Barrier — Physical Membrane (ext perimeter)</t>
        </is>
      </c>
      <c r="C35" s="16" t="n">
        <v>38.4</v>
      </c>
      <c r="D35" s="14" t="inlineStr">
        <is>
          <t>lm</t>
        </is>
      </c>
      <c r="E35" s="14" t="n"/>
      <c r="F35" s="14" t="n"/>
      <c r="G35" s="14" t="inlineStr">
        <is>
          <t>L</t>
        </is>
      </c>
      <c r="H35" s="15" t="inlineStr">
        <is>
          <t xml:space="preserve">MANUAL REVIEW REQUIRED. Physical termite management (barrier membrane / Granitgard or equivalent) at all footing/bearer </t>
        </is>
      </c>
    </row>
    <row r="36">
      <c r="A36" s="14" t="inlineStr"/>
      <c r="B36" s="15" t="inlineStr">
        <is>
          <t>Termite Barrier — Physical Membrane (internal bearing lines)</t>
        </is>
      </c>
      <c r="C36" s="16" t="n">
        <v>29.4</v>
      </c>
      <c r="D36" s="14" t="inlineStr">
        <is>
          <t>lm</t>
        </is>
      </c>
      <c r="E36" s="14" t="n"/>
      <c r="F36" s="14" t="n"/>
      <c r="G36" s="14" t="inlineStr">
        <is>
          <t>L</t>
        </is>
      </c>
      <c r="H36" s="15" t="inlineStr">
        <is>
          <t xml:space="preserve">MANUAL REVIEW REQUIRED. Physical termite management at internal bearing interfaces. Verify treatment specification from </t>
        </is>
      </c>
    </row>
    <row r="37">
      <c r="A37" s="23" t="inlineStr"/>
      <c r="B37" s="24" t="inlineStr">
        <is>
          <t>Substructure | Bulk Earthworks / Level (provisional)</t>
        </is>
      </c>
      <c r="C37" s="25" t="n">
        <v>0</v>
      </c>
      <c r="D37" s="23" t="inlineStr">
        <is>
          <t>m3</t>
        </is>
      </c>
      <c r="E37" s="23" t="n"/>
      <c r="F37" s="23" t="n"/>
      <c r="G37" s="23" t="inlineStr">
        <is>
          <t>L</t>
        </is>
      </c>
      <c r="H37" s="24" t="inlineStr">
        <is>
          <t>MANUAL REVIEW REQUIRED. Excavation volume cannot be derived from architectural documents.</t>
        </is>
      </c>
    </row>
    <row r="38">
      <c r="A38" s="23" t="inlineStr"/>
      <c r="B38" s="24" t="inlineStr">
        <is>
          <t>Substructure | Site Preparation (Provisional)</t>
        </is>
      </c>
      <c r="C38" s="25" t="n">
        <v>0</v>
      </c>
      <c r="D38" s="23" t="inlineStr">
        <is>
          <t>item</t>
        </is>
      </c>
      <c r="E38" s="23" t="n"/>
      <c r="F38" s="23" t="n"/>
      <c r="G38" s="23" t="inlineStr">
        <is>
          <t>L</t>
        </is>
      </c>
      <c r="H38" s="24" t="inlineStr">
        <is>
          <t>MANUAL REVIEW REQUIRED. Site preparation scope cannot be derived from drawings. Confirm with engineer.</t>
        </is>
      </c>
    </row>
    <row r="39" ht="16" customHeight="1">
      <c r="A39" s="6" t="inlineStr">
        <is>
          <t xml:space="preserve">  Floor System</t>
        </is>
      </c>
      <c r="B39" s="7" t="n"/>
      <c r="C39" s="7" t="n"/>
      <c r="D39" s="7" t="n"/>
      <c r="E39" s="7" t="n"/>
      <c r="F39" s="7" t="n"/>
      <c r="G39" s="7" t="n"/>
      <c r="H39" s="8" t="n"/>
    </row>
    <row r="40">
      <c r="A40" s="9" t="inlineStr"/>
      <c r="B40" s="10" t="inlineStr">
        <is>
          <t>Floor Joist</t>
        </is>
      </c>
      <c r="C40" s="11" t="n">
        <v>150.82</v>
      </c>
      <c r="D40" s="9" t="inlineStr">
        <is>
          <t>lm</t>
        </is>
      </c>
      <c r="E40" s="9" t="n"/>
      <c r="F40" s="9" t="n"/>
      <c r="G40" s="9" t="inlineStr">
        <is>
          <t>M</t>
        </is>
      </c>
      <c r="H40" s="10" t="inlineStr">
        <is>
          <t>Total joist lm calculated from DWG cassette schedule. 63 nr × 2394mm = 150.82 lm. Use this row for steel procurement ord</t>
        </is>
      </c>
    </row>
    <row r="41">
      <c r="A41" s="9" t="inlineStr"/>
      <c r="B41" s="10" t="inlineStr">
        <is>
          <t>Floor Edge Beam</t>
        </is>
      </c>
      <c r="C41" s="11" t="n">
        <v>54</v>
      </c>
      <c r="D41" s="9" t="inlineStr">
        <is>
          <t>lm</t>
        </is>
      </c>
      <c r="E41" s="9" t="n"/>
      <c r="F41" s="9" t="n"/>
      <c r="G41" s="9" t="inlineStr">
        <is>
          <t>M</t>
        </is>
      </c>
      <c r="H41" s="10" t="inlineStr">
        <is>
          <t>Total edge beam lm for procurement ordering. 18 nr × 3000mm = 54.00 lm. Verify profile 150P41-115-500 and section from F</t>
        </is>
      </c>
    </row>
    <row r="42">
      <c r="A42" s="9" t="inlineStr"/>
      <c r="B42" s="10" t="inlineStr">
        <is>
          <t>Floor Stringer</t>
        </is>
      </c>
      <c r="C42" s="11" t="n">
        <v>43.09</v>
      </c>
      <c r="D42" s="9" t="inlineStr">
        <is>
          <t>lm</t>
        </is>
      </c>
      <c r="E42" s="9" t="n"/>
      <c r="F42" s="9" t="n"/>
      <c r="G42" s="9" t="inlineStr">
        <is>
          <t>M</t>
        </is>
      </c>
      <c r="H42" s="10" t="inlineStr">
        <is>
          <t>Total stringer lm for procurement ordering. 18 nr × 2394mm = 43.09 lm. Verify profile and section from FrameCAD engineer</t>
        </is>
      </c>
    </row>
    <row r="43">
      <c r="A43" s="17" t="inlineStr"/>
      <c r="B43" s="18" t="inlineStr">
        <is>
          <t>FC Sheet Floor | 18mm thk, 1200 x 2400 Sheet</t>
        </is>
      </c>
      <c r="C43" s="19" t="n">
        <v>24</v>
      </c>
      <c r="D43" s="17" t="inlineStr">
        <is>
          <t>sheets</t>
        </is>
      </c>
      <c r="E43" s="17" t="n"/>
      <c r="F43" s="17" t="n"/>
      <c r="G43" s="17" t="inlineStr">
        <is>
          <t>H</t>
        </is>
      </c>
      <c r="H43" s="18" t="inlineStr">
        <is>
          <t xml:space="preserve">FC/ply substrate for all internal enclosed zones (dry + wet combined). Sheet 1200×2400mm (same spec as ceiling FC sheet </t>
        </is>
      </c>
    </row>
    <row r="44">
      <c r="A44" s="17" t="inlineStr"/>
      <c r="B44" s="18" t="inlineStr">
        <is>
          <t>Floor Sheet (FC / Plywood)</t>
        </is>
      </c>
      <c r="C44" s="19" t="n">
        <v>25</v>
      </c>
      <c r="D44" s="17" t="inlineStr">
        <is>
          <t>each</t>
        </is>
      </c>
      <c r="E44" s="17" t="n"/>
      <c r="F44" s="17" t="n"/>
      <c r="G44" s="17" t="inlineStr">
        <is>
          <t>H</t>
        </is>
      </c>
      <c r="H44" s="18" t="inlineStr">
        <is>
          <t>Gross FC/ply sheet supply area (all internal zones). Net floor: 64.80m² × 1.05 waste = 68.04m². Rounded up to 24 full sh</t>
        </is>
      </c>
    </row>
    <row r="45" ht="4" customHeight="1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>
      <c r="A46" s="27" t="inlineStr"/>
      <c r="B46" s="28" t="inlineStr">
        <is>
          <t>Fixing | FC Floor Sheet Screw</t>
        </is>
      </c>
      <c r="C46" s="29" t="n">
        <v>768</v>
      </c>
      <c r="D46" s="27" t="inlineStr">
        <is>
          <t>nr</t>
        </is>
      </c>
      <c r="E46" s="27" t="n"/>
      <c r="F46" s="27" t="n"/>
      <c r="G46" s="27" t="inlineStr">
        <is>
          <t>L</t>
        </is>
      </c>
      <c r="H46" s="28" t="inlineStr">
        <is>
          <t>32 screws per 1200×2400mm sheet: perimeter@200mm + field@300mm (~3 joist lines per 1200mm width). Total: 24 × 32 = 768 n</t>
        </is>
      </c>
    </row>
    <row r="47">
      <c r="A47" s="27" t="inlineStr"/>
      <c r="B47" s="28" t="inlineStr">
        <is>
          <t>Fixing | FC Floor Sheet Screw</t>
        </is>
      </c>
      <c r="C47" s="29" t="n">
        <v>2</v>
      </c>
      <c r="D47" s="27" t="inlineStr">
        <is>
          <t>boxes</t>
        </is>
      </c>
      <c r="E47" s="27" t="n"/>
      <c r="F47" s="27" t="n"/>
      <c r="G47" s="27" t="inlineStr">
        <is>
          <t>L</t>
        </is>
      </c>
      <c r="H47" s="28" t="inlineStr">
        <is>
          <t>32 fixings per sheet ÷ 500/box (8G self-drilling 35mm, standard trade supply).</t>
        </is>
      </c>
    </row>
    <row r="48">
      <c r="A48" s="27" t="inlineStr"/>
      <c r="B48" s="28" t="inlineStr">
        <is>
          <t>Floor Sheet (FC / Plywood)</t>
        </is>
      </c>
      <c r="C48" s="29" t="n">
        <v>22</v>
      </c>
      <c r="D48" s="27" t="inlineStr">
        <is>
          <t>tubes</t>
        </is>
      </c>
      <c r="E48" s="27" t="n"/>
      <c r="F48" s="27" t="n"/>
      <c r="G48" s="27" t="inlineStr">
        <is>
          <t>L</t>
        </is>
      </c>
      <c r="H48" s="28" t="inlineStr">
        <is>
          <t>Construction adhesive for floor sheet to joist. 1 tube per ~3 m² of floor area.</t>
        </is>
      </c>
    </row>
    <row r="49" ht="14" customHeight="1">
      <c r="A49" s="12" t="inlineStr">
        <is>
          <t>▸ Items below require manual review / site confirmation</t>
        </is>
      </c>
      <c r="B49" s="13" t="n"/>
      <c r="C49" s="13" t="n"/>
      <c r="D49" s="13" t="n"/>
      <c r="E49" s="13" t="n"/>
      <c r="F49" s="13" t="n"/>
      <c r="G49" s="13" t="n"/>
      <c r="H49" s="13" t="n"/>
    </row>
    <row r="50">
      <c r="A50" s="14" t="inlineStr"/>
      <c r="B50" s="15" t="inlineStr">
        <is>
          <t>Floor Cassette Panel</t>
        </is>
      </c>
      <c r="C50" s="16" t="n">
        <v>9</v>
      </c>
      <c r="D50" s="14" t="inlineStr">
        <is>
          <t>nr</t>
        </is>
      </c>
      <c r="E50" s="14" t="n"/>
      <c r="F50" s="14" t="n"/>
      <c r="G50" s="14" t="inlineStr">
        <is>
          <t>M</t>
        </is>
      </c>
      <c r="H50" s="15" t="inlineStr">
        <is>
          <t>MANUAL REVIEW REQUIRED. Panel count calculated from DWG-measured floor area / per-panel area (7.182m²). Panel width=3000</t>
        </is>
      </c>
    </row>
    <row r="51">
      <c r="A51" s="14" t="inlineStr"/>
      <c r="B51" s="15" t="inlineStr">
        <is>
          <t>Floor Joist</t>
        </is>
      </c>
      <c r="C51" s="16" t="n">
        <v>63</v>
      </c>
      <c r="D51" s="14" t="inlineStr">
        <is>
          <t>nr</t>
        </is>
      </c>
      <c r="E51" s="14" t="n"/>
      <c r="F51" s="14" t="n"/>
      <c r="G51" s="14" t="inlineStr">
        <is>
          <t>M</t>
        </is>
      </c>
      <c r="H51" s="15" t="inlineStr">
        <is>
          <t>MANUAL REVIEW REQUIRED. Profile: 150S41-095-500, length: 2394mm. 7 joists per panel — HIGH confidence from DWG Onpage FL</t>
        </is>
      </c>
    </row>
    <row r="52">
      <c r="A52" s="14" t="inlineStr"/>
      <c r="B52" s="15" t="inlineStr">
        <is>
          <t>Floor Edge Beam</t>
        </is>
      </c>
      <c r="C52" s="16" t="n">
        <v>18</v>
      </c>
      <c r="D52" s="14" t="inlineStr">
        <is>
          <t>nr</t>
        </is>
      </c>
      <c r="E52" s="14" t="n"/>
      <c r="F52" s="14" t="n"/>
      <c r="G52" s="14" t="inlineStr">
        <is>
          <t>M</t>
        </is>
      </c>
      <c r="H52" s="15" t="inlineStr">
        <is>
          <t>MANUAL REVIEW REQUIRED. Profile: 150P41-115-500, length: 3000mm. 2 edge beams per panel (E1×1 + E2×1 — HIGH from DWG sch</t>
        </is>
      </c>
    </row>
    <row r="53">
      <c r="A53" s="14" t="inlineStr"/>
      <c r="B53" s="15" t="inlineStr">
        <is>
          <t>Floor Stringer</t>
        </is>
      </c>
      <c r="C53" s="16" t="n">
        <v>18</v>
      </c>
      <c r="D53" s="14" t="inlineStr">
        <is>
          <t>nr</t>
        </is>
      </c>
      <c r="E53" s="14" t="n"/>
      <c r="F53" s="14" t="n"/>
      <c r="G53" s="14" t="inlineStr">
        <is>
          <t>M</t>
        </is>
      </c>
      <c r="H53" s="15" t="inlineStr">
        <is>
          <t>MANUAL REVIEW REQUIRED. Profile: 150S41-115-500, length: 2394mm. 2 stringers per panel (S1×1 + S2×1 — HIGH from DWG sche</t>
        </is>
      </c>
    </row>
    <row r="54">
      <c r="A54" s="14" t="inlineStr"/>
      <c r="B54" s="15" t="inlineStr">
        <is>
          <t>Floor Bearer | LGS</t>
        </is>
      </c>
      <c r="C54" s="16" t="n">
        <v>2</v>
      </c>
      <c r="D54" s="14" t="inlineStr">
        <is>
          <t>nr</t>
        </is>
      </c>
      <c r="E54" s="14" t="n"/>
      <c r="F54" s="14" t="n"/>
      <c r="G54" s="14" t="inlineStr">
        <is>
          <t>M</t>
        </is>
      </c>
      <c r="H54" s="15" t="inlineStr">
        <is>
          <t>MANUAL REVIEW REQUIRED. Number of internal floor bearer lines. DWG panel depth = 2394mm → 3 rows across 7.2m span. Perim</t>
        </is>
      </c>
    </row>
    <row r="55">
      <c r="A55" s="14" t="inlineStr"/>
      <c r="B55" s="15" t="inlineStr">
        <is>
          <t>Floor Bearer | LGS</t>
        </is>
      </c>
      <c r="C55" s="16" t="n">
        <v>18</v>
      </c>
      <c r="D55" s="14" t="inlineStr">
        <is>
          <t>lm</t>
        </is>
      </c>
      <c r="E55" s="14" t="n"/>
      <c r="F55" s="14" t="n"/>
      <c r="G55" s="14" t="inlineStr">
        <is>
          <t>M</t>
        </is>
      </c>
      <c r="H55" s="15" t="inlineStr">
        <is>
          <t xml:space="preserve">MANUAL REVIEW REQUIRED. Internal floor bearer / support beam at joist-end bearing positions. DWG panel depth = 2394mm → </t>
        </is>
      </c>
    </row>
    <row r="56">
      <c r="A56" s="14" t="inlineStr"/>
      <c r="B56" s="15" t="inlineStr">
        <is>
          <t>Floor Cassette Panel</t>
        </is>
      </c>
      <c r="C56" s="16" t="n">
        <v>64.64</v>
      </c>
      <c r="D56" s="14" t="inlineStr">
        <is>
          <t>m2</t>
        </is>
      </c>
      <c r="E56" s="14" t="n"/>
      <c r="F56" s="14" t="n"/>
      <c r="G56" s="14" t="inlineStr">
        <is>
          <t>M</t>
        </is>
      </c>
      <c r="H56" s="15" t="inlineStr">
        <is>
          <t>MANUAL REVIEW REQUIRED. Total floor cassette panel area = 9 panels × 7.182m² (3000mm × 2394mm each). Cross-check: main_f</t>
        </is>
      </c>
    </row>
    <row r="57">
      <c r="A57" s="14" t="inlineStr"/>
      <c r="B57" s="15" t="inlineStr">
        <is>
          <t>Sub-Floor Support Post</t>
        </is>
      </c>
      <c r="C57" s="16" t="n">
        <v>4</v>
      </c>
      <c r="D57" s="14" t="inlineStr">
        <is>
          <t>nr</t>
        </is>
      </c>
      <c r="E57" s="14" t="n"/>
      <c r="F57" s="14" t="n"/>
      <c r="G57" s="14" t="inlineStr">
        <is>
          <t>L</t>
        </is>
      </c>
      <c r="H57" s="15" t="inlineStr">
        <is>
          <t xml:space="preserve">MANUAL REVIEW REQUIRED. Adjustable steel stumps or concrete piers at mid-span support points of internal floor bearers. </t>
        </is>
      </c>
    </row>
    <row r="58">
      <c r="A58" s="14" t="inlineStr"/>
      <c r="B58" s="15" t="inlineStr">
        <is>
          <t>Joist Hanger Connector (J1 end fix)</t>
        </is>
      </c>
      <c r="C58" s="16" t="n">
        <v>126</v>
      </c>
      <c r="D58" s="14" t="inlineStr">
        <is>
          <t>nr</t>
        </is>
      </c>
      <c r="E58" s="14" t="n"/>
      <c r="F58" s="14" t="n"/>
      <c r="G58" s="14" t="inlineStr">
        <is>
          <t>M</t>
        </is>
      </c>
      <c r="H58" s="15" t="inlineStr">
        <is>
          <t xml:space="preserve">MANUAL REVIEW REQUIRED. LGS joist hanger or clip angle at each J1 joist end. Total: 63 joists × 2 ends = 126 nr. Verify </t>
        </is>
      </c>
    </row>
    <row r="59" ht="16" customHeight="1">
      <c r="A59" s="6" t="inlineStr">
        <is>
          <t xml:space="preserve">  Frame</t>
        </is>
      </c>
      <c r="B59" s="7" t="n"/>
      <c r="C59" s="7" t="n"/>
      <c r="D59" s="7" t="n"/>
      <c r="E59" s="7" t="n"/>
      <c r="F59" s="7" t="n"/>
      <c r="G59" s="7" t="n"/>
      <c r="H59" s="8" t="n"/>
    </row>
    <row r="60">
      <c r="A60" s="17" t="inlineStr"/>
      <c r="B60" s="18" t="inlineStr">
        <is>
          <t>Wall Framing System — LGS</t>
        </is>
      </c>
      <c r="C60" s="19" t="n">
        <v>2250.69</v>
      </c>
      <c r="D60" s="17" t="inlineStr">
        <is>
          <t>lm</t>
        </is>
      </c>
      <c r="E60" s="17" t="n"/>
      <c r="F60" s="17" t="n"/>
      <c r="G60" s="17" t="inlineStr">
        <is>
          <t>H</t>
        </is>
      </c>
      <c r="H60" s="18" t="inlineStr"/>
    </row>
    <row r="61">
      <c r="A61" s="17" t="inlineStr"/>
      <c r="B61" s="18" t="inlineStr">
        <is>
          <t>Wall Framing System — LGS</t>
        </is>
      </c>
      <c r="C61" s="19" t="n">
        <v>3.57</v>
      </c>
      <c r="D61" s="17" t="inlineStr">
        <is>
          <t>lm</t>
        </is>
      </c>
      <c r="E61" s="17" t="n"/>
      <c r="F61" s="17" t="n"/>
      <c r="G61" s="17" t="inlineStr">
        <is>
          <t>H</t>
        </is>
      </c>
      <c r="H61" s="18" t="inlineStr"/>
    </row>
    <row r="62">
      <c r="A62" s="17" t="inlineStr"/>
      <c r="B62" s="18" t="inlineStr">
        <is>
          <t>Wall Framing System — LGS</t>
        </is>
      </c>
      <c r="C62" s="19" t="n">
        <v>49.73</v>
      </c>
      <c r="D62" s="17" t="inlineStr">
        <is>
          <t>lm</t>
        </is>
      </c>
      <c r="E62" s="17" t="n"/>
      <c r="F62" s="17" t="n"/>
      <c r="G62" s="17" t="inlineStr">
        <is>
          <t>H</t>
        </is>
      </c>
      <c r="H62" s="18" t="inlineStr"/>
    </row>
    <row r="63">
      <c r="A63" s="17" t="inlineStr"/>
      <c r="B63" s="18" t="inlineStr">
        <is>
          <t>External Works | Verandah Frame</t>
        </is>
      </c>
      <c r="C63" s="19" t="n">
        <v>69.91</v>
      </c>
      <c r="D63" s="17" t="inlineStr">
        <is>
          <t>lm</t>
        </is>
      </c>
      <c r="E63" s="17" t="n"/>
      <c r="F63" s="17" t="n"/>
      <c r="G63" s="17" t="inlineStr">
        <is>
          <t>H</t>
        </is>
      </c>
      <c r="H63" s="18" t="inlineStr">
        <is>
          <t>SOURCE NOTE: IFC model provides total verandah frame lm only — no per-member breakdown (posts / beams / bracing) is avai</t>
        </is>
      </c>
    </row>
    <row r="64">
      <c r="A64" s="17" t="inlineStr"/>
      <c r="B64" s="18" t="inlineStr">
        <is>
          <t>Roof Truss System — LGS</t>
        </is>
      </c>
      <c r="C64" s="19" t="n">
        <v>1634.29</v>
      </c>
      <c r="D64" s="17" t="inlineStr">
        <is>
          <t>lm</t>
        </is>
      </c>
      <c r="E64" s="17" t="n"/>
      <c r="F64" s="17" t="n"/>
      <c r="G64" s="17" t="inlineStr">
        <is>
          <t>H</t>
        </is>
      </c>
      <c r="H64" s="18" t="inlineStr">
        <is>
          <t>QA NOTE: FrameCAD BOM 'Roof Trusses' tab total includes all roof structural members (truss chords, webs, purlin/rafter r</t>
        </is>
      </c>
    </row>
    <row r="65">
      <c r="A65" s="17" t="inlineStr"/>
      <c r="B65" s="18" t="inlineStr">
        <is>
          <t>Roof Panel System — LGS</t>
        </is>
      </c>
      <c r="C65" s="19" t="n">
        <v>481.74</v>
      </c>
      <c r="D65" s="17" t="inlineStr">
        <is>
          <t>lm</t>
        </is>
      </c>
      <c r="E65" s="17" t="n"/>
      <c r="F65" s="17" t="n"/>
      <c r="G65" s="17" t="inlineStr">
        <is>
          <t>H</t>
        </is>
      </c>
      <c r="H65" s="18" t="inlineStr"/>
    </row>
    <row r="66">
      <c r="A66" s="17" t="inlineStr"/>
      <c r="B66" s="18" t="inlineStr">
        <is>
          <t>Roof Batten | 41mm Top Hat, G550, Z275</t>
        </is>
      </c>
      <c r="C66" s="19" t="n">
        <v>1385.3</v>
      </c>
      <c r="D66" s="17" t="inlineStr">
        <is>
          <t>lm</t>
        </is>
      </c>
      <c r="E66" s="17" t="n"/>
      <c r="F66" s="17" t="n"/>
      <c r="G66" s="17" t="inlineStr">
        <is>
          <t>H</t>
        </is>
      </c>
      <c r="H66" s="18" t="inlineStr">
        <is>
          <t>BOM total 266 pieces (1385.3 lm) — all batten zones. Grade split: ≥35mm (roof top-hat) = 85 nr / 510.0 lm; &lt;35mm (ceilin</t>
        </is>
      </c>
    </row>
    <row r="67">
      <c r="A67" s="17" t="inlineStr"/>
      <c r="B67" s="18" t="inlineStr">
        <is>
          <t>Steel Post | 75 x 4mm SHS, Q345, HDG600</t>
        </is>
      </c>
      <c r="C67" s="19" t="n">
        <v>96.69</v>
      </c>
      <c r="D67" s="17" t="inlineStr">
        <is>
          <t>lm</t>
        </is>
      </c>
      <c r="E67" s="17" t="n"/>
      <c r="F67" s="17" t="n"/>
      <c r="G67" s="17" t="inlineStr">
        <is>
          <t>H</t>
        </is>
      </c>
      <c r="H67" s="18" t="inlineStr"/>
    </row>
    <row r="68">
      <c r="A68" s="9" t="inlineStr"/>
      <c r="B68" s="10" t="inlineStr">
        <is>
          <t>Roof Batten | 41mm Top Hat, G550, Z275, 6000mm</t>
        </is>
      </c>
      <c r="C68" s="11" t="n">
        <v>85</v>
      </c>
      <c r="D68" s="9" t="inlineStr">
        <is>
          <t>nr</t>
        </is>
      </c>
      <c r="E68" s="9" t="n"/>
      <c r="F68" s="9" t="n"/>
      <c r="G68" s="9" t="inlineStr">
        <is>
          <t>M</t>
        </is>
      </c>
      <c r="H68" s="10" t="inlineStr">
        <is>
          <t>Roof top-hat batten (grade 40mm ≥35mm threshold). 6000mm stock length. Total: 510.0 lm. Zone inferred from grade — confi</t>
        </is>
      </c>
    </row>
    <row r="69">
      <c r="A69" s="20" t="inlineStr"/>
      <c r="B69" s="21" t="inlineStr">
        <is>
          <t>Ceiling Batten | G22, 4800mm</t>
        </is>
      </c>
      <c r="C69" s="22" t="n">
        <v>176</v>
      </c>
      <c r="D69" s="20" t="inlineStr">
        <is>
          <t>nr</t>
        </is>
      </c>
      <c r="E69" s="20" t="n"/>
      <c r="F69" s="20" t="n"/>
      <c r="G69" s="20" t="inlineStr">
        <is>
          <t>L</t>
        </is>
      </c>
      <c r="H69" s="21" t="inlineStr">
        <is>
          <t>Ceiling/wall batten (grade 22mm &lt;35mm threshold). 4800mm stock length. Total: 844.8 lm. Zone inferred from grade — confi</t>
        </is>
      </c>
    </row>
    <row r="70">
      <c r="A70" s="20" t="inlineStr"/>
      <c r="B70" s="21" t="inlineStr">
        <is>
          <t>Ceiling Batten | G22, 6100mm</t>
        </is>
      </c>
      <c r="C70" s="22" t="n">
        <v>5</v>
      </c>
      <c r="D70" s="20" t="inlineStr">
        <is>
          <t>nr</t>
        </is>
      </c>
      <c r="E70" s="20" t="n"/>
      <c r="F70" s="20" t="n"/>
      <c r="G70" s="20" t="inlineStr">
        <is>
          <t>L</t>
        </is>
      </c>
      <c r="H70" s="21" t="inlineStr">
        <is>
          <t>Ceiling/wall batten (grade 22mm &lt;35mm threshold). 6100mm stock length. Total: 30.5 lm. Zone inferred from grade — confir</t>
        </is>
      </c>
    </row>
    <row r="71" ht="6" customHeight="1"/>
    <row r="72" ht="20" customHeight="1">
      <c r="A72" s="3" t="inlineStr">
        <is>
          <t>50111</t>
        </is>
      </c>
      <c r="B72" s="4" t="n"/>
      <c r="C72" s="4" t="n"/>
      <c r="D72" s="4" t="n"/>
      <c r="E72" s="4" t="n"/>
      <c r="F72" s="4" t="n"/>
      <c r="G72" s="4" t="n"/>
      <c r="H72" s="5" t="n"/>
    </row>
    <row r="73" ht="16" customHeight="1">
      <c r="A73" s="6" t="inlineStr">
        <is>
          <t xml:space="preserve">  Structural Fixings</t>
        </is>
      </c>
      <c r="B73" s="7" t="n"/>
      <c r="C73" s="7" t="n"/>
      <c r="D73" s="7" t="n"/>
      <c r="E73" s="7" t="n"/>
      <c r="F73" s="7" t="n"/>
      <c r="G73" s="7" t="n"/>
      <c r="H73" s="8" t="n"/>
    </row>
    <row r="74" ht="14" customHeight="1">
      <c r="A74" s="12" t="inlineStr">
        <is>
          <t>▸ Items below require manual review / site confirmation</t>
        </is>
      </c>
      <c r="B74" s="13" t="n"/>
      <c r="C74" s="13" t="n"/>
      <c r="D74" s="13" t="n"/>
      <c r="E74" s="13" t="n"/>
      <c r="F74" s="13" t="n"/>
      <c r="G74" s="13" t="n"/>
      <c r="H74" s="13" t="n"/>
    </row>
    <row r="75">
      <c r="A75" s="14" t="inlineStr"/>
      <c r="B75" s="15" t="inlineStr">
        <is>
          <t>Accessories | Grommet 35mm Dia</t>
        </is>
      </c>
      <c r="C75" s="16" t="n">
        <v>93</v>
      </c>
      <c r="D75" s="14" t="inlineStr">
        <is>
          <t>nr</t>
        </is>
      </c>
      <c r="E75" s="14" t="n"/>
      <c r="F75" s="14" t="n"/>
      <c r="G75" s="14" t="inlineStr">
        <is>
          <t>L</t>
        </is>
      </c>
      <c r="H75" s="15" t="inlineStr">
        <is>
          <t xml:space="preserve">MANUAL REVIEW REQUIRED. Cable/conduit grommets at LGS stud penetrations (commercial density). Internal: 29.4m × 2.5/m = </t>
        </is>
      </c>
    </row>
    <row r="76">
      <c r="A76" s="14" t="inlineStr"/>
      <c r="B76" s="15" t="inlineStr">
        <is>
          <t>Fixing | 12G-14x20mm HEX Head, DP</t>
        </is>
      </c>
      <c r="C76" s="16" t="n">
        <v>19</v>
      </c>
      <c r="D76" s="14" t="inlineStr">
        <is>
          <t>boxes</t>
        </is>
      </c>
      <c r="E76" s="14" t="n"/>
      <c r="F76" s="14" t="n"/>
      <c r="G76" s="14" t="inlineStr">
        <is>
          <t>M</t>
        </is>
      </c>
      <c r="H76" s="15" t="inlineStr">
        <is>
          <t>MANUAL REVIEW REQUIRED. Stud-to-track connections: 2300.4lm × 4.0 per m = ~9202 screws, 19 boxes (500/box). Density: 2 s</t>
        </is>
      </c>
    </row>
    <row r="77">
      <c r="A77" s="14" t="inlineStr"/>
      <c r="B77" s="15" t="inlineStr">
        <is>
          <t>Roof Panel System — LGS</t>
        </is>
      </c>
      <c r="C77" s="16" t="n">
        <v>3</v>
      </c>
      <c r="D77" s="14" t="inlineStr">
        <is>
          <t>boxes</t>
        </is>
      </c>
      <c r="E77" s="14" t="n"/>
      <c r="F77" s="14" t="n"/>
      <c r="G77" s="14" t="inlineStr">
        <is>
          <t>M</t>
        </is>
      </c>
      <c r="H77" s="15" t="inlineStr">
        <is>
          <t>MANUAL REVIEW REQUIRED. Purlin-to-rafter / roof panel connections: 481.7lm × 3.0 per m = ~1445 screws, 3 boxes. Verify w</t>
        </is>
      </c>
    </row>
    <row r="78">
      <c r="A78" s="14" t="inlineStr"/>
      <c r="B78" s="15" t="inlineStr">
        <is>
          <t>Fixing | 10G-14x16mm Wafer Head, DP</t>
        </is>
      </c>
      <c r="C78" s="16" t="n">
        <v>7</v>
      </c>
      <c r="D78" s="14" t="inlineStr">
        <is>
          <t>boxes</t>
        </is>
      </c>
      <c r="E78" s="14" t="n"/>
      <c r="F78" s="14" t="n"/>
      <c r="G78" s="14" t="inlineStr">
        <is>
          <t>L</t>
        </is>
      </c>
      <c r="H78" s="15" t="inlineStr">
        <is>
          <t>MANUAL REVIEW REQUIRED. Batten-to-purlin connections: 1385.3lm total batten × 2.5 per m = ~3463. Includes roof, wall, an</t>
        </is>
      </c>
    </row>
    <row r="79">
      <c r="A79" s="14" t="inlineStr"/>
      <c r="B79" s="15" t="inlineStr">
        <is>
          <t>Fixing | M12 x 75mm Sleeve Anchor (Pad Footings)</t>
        </is>
      </c>
      <c r="C79" s="16" t="n">
        <v>60</v>
      </c>
      <c r="D79" s="14" t="inlineStr">
        <is>
          <t>nr</t>
        </is>
      </c>
      <c r="E79" s="14" t="n"/>
      <c r="F79" s="14" t="n"/>
      <c r="G79" s="14" t="inlineStr">
        <is>
          <t>M</t>
        </is>
      </c>
      <c r="H79" s="15" t="inlineStr">
        <is>
          <t>MANUAL REVIEW REQUIRED. 15 pad footings × 4 M12×75 anchors each (4-bolt base plate). Verify anchor embedment depth and e</t>
        </is>
      </c>
    </row>
    <row r="80">
      <c r="A80" s="14" t="inlineStr"/>
      <c r="B80" s="15" t="inlineStr">
        <is>
          <t>PH Bracket | Post Holder (PHA/PHB/PHD)</t>
        </is>
      </c>
      <c r="C80" s="16" t="n">
        <v>15</v>
      </c>
      <c r="D80" s="14" t="inlineStr">
        <is>
          <t>nr</t>
        </is>
      </c>
      <c r="E80" s="14" t="n"/>
      <c r="F80" s="14" t="n"/>
      <c r="G80" s="14" t="inlineStr">
        <is>
          <t>M</t>
        </is>
      </c>
      <c r="H80" s="15" t="inlineStr">
        <is>
          <t>MANUAL REVIEW REQUIRED. Post holder brackets at column bases. Count from DXF pad count (direct geometry measurement). To</t>
        </is>
      </c>
    </row>
    <row r="81">
      <c r="A81" s="14" t="inlineStr"/>
      <c r="B81" s="15" t="inlineStr">
        <is>
          <t>Accessories | Triple Grip Connector (Pryda)</t>
        </is>
      </c>
      <c r="C81" s="16" t="n">
        <v>36</v>
      </c>
      <c r="D81" s="14" t="inlineStr">
        <is>
          <t>nr</t>
        </is>
      </c>
      <c r="E81" s="14" t="n"/>
      <c r="F81" s="14" t="n"/>
      <c r="G81" s="14" t="inlineStr">
        <is>
          <t>M</t>
        </is>
      </c>
      <c r="H81" s="15" t="inlineStr">
        <is>
          <t>MANUAL REVIEW REQUIRED. Roof-to-wall-plate cyclonic uplift connectors at rafter-to-plate junctions. Eave length 42.4m fr</t>
        </is>
      </c>
    </row>
    <row r="82">
      <c r="A82" s="14" t="inlineStr"/>
      <c r="B82" s="15" t="inlineStr">
        <is>
          <t>Accessories | Hold Down Washer, Cyclonic</t>
        </is>
      </c>
      <c r="C82" s="16" t="n">
        <v>30</v>
      </c>
      <c r="D82" s="14" t="inlineStr">
        <is>
          <t>nr</t>
        </is>
      </c>
      <c r="E82" s="14" t="n"/>
      <c r="F82" s="14" t="n"/>
      <c r="G82" s="14" t="inlineStr">
        <is>
          <t>L</t>
        </is>
      </c>
      <c r="H82" s="15" t="inlineStr">
        <is>
          <t>MANUAL REVIEW REQUIRED. Hold-down washers at post base connections. 15 pads × 2 = 30 nr. Verify washer specification (si</t>
        </is>
      </c>
    </row>
    <row r="83">
      <c r="A83" s="14" t="inlineStr"/>
      <c r="B83" s="15" t="inlineStr">
        <is>
          <t>Accessories | Fix Plate Connector, G350</t>
        </is>
      </c>
      <c r="C83" s="16" t="n">
        <v>34</v>
      </c>
      <c r="D83" s="14" t="inlineStr">
        <is>
          <t>nr</t>
        </is>
      </c>
      <c r="E83" s="14" t="n"/>
      <c r="F83" s="14" t="n"/>
      <c r="G83" s="14" t="inlineStr">
        <is>
          <t>L</t>
        </is>
      </c>
      <c r="H83" s="15" t="inlineStr">
        <is>
          <t>MANUAL REVIEW REQUIRED. Fix plates at strap bracing termination points (1 per strap end). 49.7lm ÷ 3.0m avg run = 17 run</t>
        </is>
      </c>
    </row>
    <row r="84">
      <c r="A84" s="14" t="inlineStr"/>
      <c r="B84" s="15" t="inlineStr">
        <is>
          <t>Accessories | Strap Brace Tensioner</t>
        </is>
      </c>
      <c r="C84" s="16" t="n">
        <v>34</v>
      </c>
      <c r="D84" s="14" t="inlineStr">
        <is>
          <t>nr</t>
        </is>
      </c>
      <c r="E84" s="14" t="n"/>
      <c r="F84" s="14" t="n"/>
      <c r="G84" s="14" t="inlineStr">
        <is>
          <t>L</t>
        </is>
      </c>
      <c r="H84" s="15" t="inlineStr">
        <is>
          <t>MANUAL REVIEW REQUIRED. Strap termination anchors: 49.7lm ÷ 3m avg run = 17 runs × 2 ends. Verify strap count and anchor</t>
        </is>
      </c>
    </row>
    <row r="85">
      <c r="A85" s="23" t="inlineStr"/>
      <c r="B85" s="24" t="inlineStr">
        <is>
          <t>Fixing | Structural Fixings Remainder (PLACEHOLDER)</t>
        </is>
      </c>
      <c r="C85" s="25" t="n">
        <v>0</v>
      </c>
      <c r="D85" s="23" t="inlineStr">
        <is>
          <t>item</t>
        </is>
      </c>
      <c r="E85" s="23" t="n"/>
      <c r="F85" s="23" t="n"/>
      <c r="G85" s="23" t="inlineStr">
        <is>
          <t>L</t>
        </is>
      </c>
      <c r="H85" s="24" t="inlineStr">
        <is>
          <t>MANUAL REVIEW REQUIRED. PLACEHOLDER for connection schedule items not derivable from member lm alone. Typical items: M10</t>
        </is>
      </c>
    </row>
    <row r="86" ht="6" customHeight="1"/>
    <row r="87" ht="20" customHeight="1">
      <c r="A87" s="3" t="inlineStr">
        <is>
          <t>50112</t>
        </is>
      </c>
      <c r="B87" s="4" t="n"/>
      <c r="C87" s="4" t="n"/>
      <c r="D87" s="4" t="n"/>
      <c r="E87" s="4" t="n"/>
      <c r="F87" s="4" t="n"/>
      <c r="G87" s="4" t="n"/>
      <c r="H87" s="5" t="n"/>
    </row>
    <row r="88" ht="16" customHeight="1">
      <c r="A88" s="6" t="inlineStr">
        <is>
          <t xml:space="preserve">  Roof Covering</t>
        </is>
      </c>
      <c r="B88" s="7" t="n"/>
      <c r="C88" s="7" t="n"/>
      <c r="D88" s="7" t="n"/>
      <c r="E88" s="7" t="n"/>
      <c r="F88" s="7" t="n"/>
      <c r="G88" s="7" t="n"/>
      <c r="H88" s="8" t="n"/>
    </row>
    <row r="89">
      <c r="A89" s="9" t="inlineStr"/>
      <c r="B89" s="10" t="inlineStr">
        <is>
          <t>Roof Cladding | Custom Orb CGI Sheet</t>
        </is>
      </c>
      <c r="C89" s="11" t="n">
        <v>113.16</v>
      </c>
      <c r="D89" s="9" t="inlineStr">
        <is>
          <t>m2</t>
        </is>
      </c>
      <c r="E89" s="9" t="n"/>
      <c r="F89" s="9" t="n"/>
      <c r="G89" s="9" t="inlineStr">
        <is>
          <t>M</t>
        </is>
      </c>
      <c r="H89" s="10" t="inlineStr">
        <is>
          <t>Total corrugated CGI sheet supply area. 33 sheets × 0.762m cover width × 4.5m = 113.16m². Net roof area: 106.60m². Gross</t>
        </is>
      </c>
    </row>
    <row r="90">
      <c r="A90" s="9" t="inlineStr"/>
      <c r="B90" s="10" t="inlineStr">
        <is>
          <t>Hip Capping (metal, pre-formed)</t>
        </is>
      </c>
      <c r="C90" s="11" t="n">
        <v>23.6</v>
      </c>
      <c r="D90" s="9" t="inlineStr">
        <is>
          <t>lm</t>
        </is>
      </c>
      <c r="E90" s="9" t="n"/>
      <c r="F90" s="9" t="n"/>
      <c r="G90" s="9" t="inlineStr">
        <is>
          <t>M</t>
        </is>
      </c>
      <c r="H90" s="10" t="inlineStr">
        <is>
          <t>Hip capping over all 4 hip rafter runs. Pitch=15.0° confirmed from FrameCAD Truss Design Summary. Rafter run=4.10 m from</t>
        </is>
      </c>
    </row>
    <row r="91">
      <c r="A91" s="9" t="inlineStr"/>
      <c r="B91" s="10" t="inlineStr">
        <is>
          <t>Hip Cap Fixing Screws</t>
        </is>
      </c>
      <c r="C91" s="11" t="n">
        <v>79</v>
      </c>
      <c r="D91" s="9" t="inlineStr">
        <is>
          <t>nr</t>
        </is>
      </c>
      <c r="E91" s="9" t="n"/>
      <c r="F91" s="9" t="n"/>
      <c r="G91" s="9" t="inlineStr">
        <is>
          <t>M</t>
        </is>
      </c>
      <c r="H91" s="10" t="inlineStr">
        <is>
          <t>1 screw per 300 mm of hip capping.</t>
        </is>
      </c>
    </row>
    <row r="92">
      <c r="A92" s="9" t="inlineStr"/>
      <c r="B92" s="10" t="inlineStr">
        <is>
          <t>Ridge Cap | Galvanised, lm</t>
        </is>
      </c>
      <c r="C92" s="11" t="n">
        <v>4.8</v>
      </c>
      <c r="D92" s="9" t="inlineStr">
        <is>
          <t>lm</t>
        </is>
      </c>
      <c r="E92" s="9" t="n"/>
      <c r="F92" s="9" t="n"/>
      <c r="G92" s="9" t="inlineStr">
        <is>
          <t>M</t>
        </is>
      </c>
      <c r="H92" s="10" t="inlineStr"/>
    </row>
    <row r="93">
      <c r="A93" s="9" t="inlineStr"/>
      <c r="B93" s="10" t="inlineStr">
        <is>
          <t>Fixing | Ridge Cap Hex Head Screw</t>
        </is>
      </c>
      <c r="C93" s="11" t="n">
        <v>16</v>
      </c>
      <c r="D93" s="9" t="inlineStr">
        <is>
          <t>nr</t>
        </is>
      </c>
      <c r="E93" s="9" t="n"/>
      <c r="F93" s="9" t="n"/>
      <c r="G93" s="9" t="inlineStr">
        <is>
          <t>M</t>
        </is>
      </c>
      <c r="H93" s="10" t="inlineStr">
        <is>
          <t>1 screw per 300 mm</t>
        </is>
      </c>
    </row>
    <row r="94" ht="14" customHeight="1">
      <c r="A94" s="12" t="inlineStr">
        <is>
          <t>▸ Items below require manual review / site confirmation</t>
        </is>
      </c>
      <c r="B94" s="13" t="n"/>
      <c r="C94" s="13" t="n"/>
      <c r="D94" s="13" t="n"/>
      <c r="E94" s="13" t="n"/>
      <c r="F94" s="13" t="n"/>
      <c r="G94" s="13" t="n"/>
      <c r="H94" s="13" t="n"/>
    </row>
    <row r="95">
      <c r="A95" s="14" t="inlineStr"/>
      <c r="B95" s="15" t="inlineStr">
        <is>
          <t>Roof Cladding | Custom Orb Corrugated CGI Sheet</t>
        </is>
      </c>
      <c r="C95" s="16" t="n">
        <v>33</v>
      </c>
      <c r="D95" s="14" t="inlineStr">
        <is>
          <t>sheets</t>
        </is>
      </c>
      <c r="E95" s="14" t="n"/>
      <c r="F95" s="14" t="n"/>
      <c r="G95" s="14" t="inlineStr">
        <is>
          <t>M</t>
        </is>
      </c>
      <c r="H95" s="15" t="inlineStr">
        <is>
          <t xml:space="preserve">MANUAL REVIEW REQUIRED. rafter_run=4.10m (hip W/2, derived from roof plan) + 150mm lap → select 4.5m stock Verify sheet </t>
        </is>
      </c>
    </row>
    <row r="96" ht="16" customHeight="1">
      <c r="A96" s="6" t="inlineStr">
        <is>
          <t xml:space="preserve">  Eaves</t>
        </is>
      </c>
      <c r="B96" s="7" t="n"/>
      <c r="C96" s="7" t="n"/>
      <c r="D96" s="7" t="n"/>
      <c r="E96" s="7" t="n"/>
      <c r="F96" s="7" t="n"/>
      <c r="G96" s="7" t="n"/>
      <c r="H96" s="8" t="n"/>
    </row>
    <row r="97">
      <c r="A97" s="9" t="inlineStr"/>
      <c r="B97" s="10" t="inlineStr">
        <is>
          <t>Fascia Board | Galvanised, lm</t>
        </is>
      </c>
      <c r="C97" s="11" t="n">
        <v>42.4</v>
      </c>
      <c r="D97" s="9" t="inlineStr">
        <is>
          <t>lm</t>
        </is>
      </c>
      <c r="E97" s="9" t="n"/>
      <c r="F97" s="9" t="n"/>
      <c r="G97" s="9" t="inlineStr">
        <is>
          <t>M</t>
        </is>
      </c>
      <c r="H97" s="10" t="inlineStr"/>
    </row>
    <row r="98">
      <c r="A98" s="9" t="inlineStr"/>
      <c r="B98" s="10" t="inlineStr">
        <is>
          <t>Fascia | Clips</t>
        </is>
      </c>
      <c r="C98" s="11" t="n">
        <v>71</v>
      </c>
      <c r="D98" s="9" t="inlineStr">
        <is>
          <t>nr</t>
        </is>
      </c>
      <c r="E98" s="9" t="n"/>
      <c r="F98" s="9" t="n"/>
      <c r="G98" s="9" t="inlineStr">
        <is>
          <t>M</t>
        </is>
      </c>
      <c r="H98" s="10" t="inlineStr">
        <is>
          <t>1 clip per 600 mm</t>
        </is>
      </c>
    </row>
    <row r="99">
      <c r="A99" s="9" t="inlineStr"/>
      <c r="B99" s="10" t="inlineStr">
        <is>
          <t>Accessories | Birdproof Foam Strip</t>
        </is>
      </c>
      <c r="C99" s="11" t="n">
        <v>42.4</v>
      </c>
      <c r="D99" s="9" t="inlineStr">
        <is>
          <t>lm</t>
        </is>
      </c>
      <c r="E99" s="9" t="n"/>
      <c r="F99" s="9" t="n"/>
      <c r="G99" s="9" t="inlineStr">
        <is>
          <t>M</t>
        </is>
      </c>
      <c r="H99" s="10" t="inlineStr">
        <is>
          <t>runs full eaves length</t>
        </is>
      </c>
    </row>
    <row r="100" ht="16" customHeight="1">
      <c r="A100" s="6" t="inlineStr">
        <is>
          <t xml:space="preserve">  Roof Plumbing</t>
        </is>
      </c>
      <c r="B100" s="7" t="n"/>
      <c r="C100" s="7" t="n"/>
      <c r="D100" s="7" t="n"/>
      <c r="E100" s="7" t="n"/>
      <c r="F100" s="7" t="n"/>
      <c r="G100" s="7" t="n"/>
      <c r="H100" s="8" t="n"/>
    </row>
    <row r="101">
      <c r="A101" s="9" t="inlineStr"/>
      <c r="B101" s="10" t="inlineStr">
        <is>
          <t>Ridge End Cap | Galvanised</t>
        </is>
      </c>
      <c r="C101" s="11" t="n">
        <v>2</v>
      </c>
      <c r="D101" s="9" t="inlineStr">
        <is>
          <t>nr</t>
        </is>
      </c>
      <c r="E101" s="9" t="n"/>
      <c r="F101" s="9" t="n"/>
      <c r="G101" s="9" t="inlineStr">
        <is>
          <t>M</t>
        </is>
      </c>
      <c r="H101" s="10" t="inlineStr">
        <is>
          <t>2 end caps per ridge run (one each end)</t>
        </is>
      </c>
    </row>
    <row r="102">
      <c r="A102" s="9" t="inlineStr"/>
      <c r="B102" s="10" t="inlineStr">
        <is>
          <t>SL-14 | PVC Box Gutter</t>
        </is>
      </c>
      <c r="C102" s="11" t="n">
        <v>42.4</v>
      </c>
      <c r="D102" s="9" t="inlineStr">
        <is>
          <t>lm</t>
        </is>
      </c>
      <c r="E102" s="9" t="n"/>
      <c r="F102" s="9" t="n"/>
      <c r="G102" s="9" t="inlineStr">
        <is>
          <t>M</t>
        </is>
      </c>
      <c r="H102" s="10" t="inlineStr"/>
    </row>
    <row r="103">
      <c r="A103" s="9" t="inlineStr"/>
      <c r="B103" s="10" t="inlineStr">
        <is>
          <t>SL-14 | PVC Gutter Joiner</t>
        </is>
      </c>
      <c r="C103" s="11" t="n">
        <v>3</v>
      </c>
      <c r="D103" s="9" t="inlineStr">
        <is>
          <t>nr</t>
        </is>
      </c>
      <c r="E103" s="9" t="n"/>
      <c r="F103" s="9" t="n"/>
      <c r="G103" s="9" t="inlineStr">
        <is>
          <t>M</t>
        </is>
      </c>
      <c r="H103" s="10" t="inlineStr">
        <is>
          <t>PVC box gutter 6 m stock: joiners = total_lengths − estimated_run_count (≈eaves/10 m per run)</t>
        </is>
      </c>
    </row>
    <row r="104">
      <c r="A104" s="9" t="inlineStr"/>
      <c r="B104" s="10" t="inlineStr">
        <is>
          <t>SL-14 | PVC Gutter Stop End</t>
        </is>
      </c>
      <c r="C104" s="11" t="n">
        <v>6</v>
      </c>
      <c r="D104" s="9" t="inlineStr">
        <is>
          <t>nr</t>
        </is>
      </c>
      <c r="E104" s="9" t="n"/>
      <c r="F104" s="9" t="n"/>
      <c r="G104" s="9" t="inlineStr">
        <is>
          <t>M</t>
        </is>
      </c>
      <c r="H104" s="10" t="inlineStr">
        <is>
          <t>2 per run; add 2 per extra run &gt; 20 m</t>
        </is>
      </c>
    </row>
    <row r="105">
      <c r="A105" s="9" t="inlineStr"/>
      <c r="B105" s="10" t="inlineStr">
        <is>
          <t>SL-14 | PVC Gutter Drop Outlet</t>
        </is>
      </c>
      <c r="C105" s="11" t="n">
        <v>6</v>
      </c>
      <c r="D105" s="9" t="inlineStr">
        <is>
          <t>nr</t>
        </is>
      </c>
      <c r="E105" s="9" t="n"/>
      <c r="F105" s="9" t="n"/>
      <c r="G105" s="9" t="inlineStr">
        <is>
          <t>M</t>
        </is>
      </c>
      <c r="H105" s="10" t="inlineStr"/>
    </row>
    <row r="106">
      <c r="A106" s="9" t="inlineStr"/>
      <c r="B106" s="10" t="inlineStr">
        <is>
          <t>SL-14 | PVC Downpipe, 68mm</t>
        </is>
      </c>
      <c r="C106" s="11" t="n">
        <v>6</v>
      </c>
      <c r="D106" s="9" t="inlineStr">
        <is>
          <t>nr</t>
        </is>
      </c>
      <c r="E106" s="9" t="n"/>
      <c r="F106" s="9" t="n"/>
      <c r="G106" s="9" t="inlineStr">
        <is>
          <t>M</t>
        </is>
      </c>
      <c r="H106" s="10" t="inlineStr"/>
    </row>
    <row r="107">
      <c r="A107" s="9" t="inlineStr"/>
      <c r="B107" s="10" t="inlineStr">
        <is>
          <t>SL-14 | PVC Downpipe Elbow, 90°</t>
        </is>
      </c>
      <c r="C107" s="11" t="n">
        <v>12</v>
      </c>
      <c r="D107" s="9" t="inlineStr">
        <is>
          <t>nr</t>
        </is>
      </c>
      <c r="E107" s="9" t="n"/>
      <c r="F107" s="9" t="n"/>
      <c r="G107" s="9" t="inlineStr">
        <is>
          <t>M</t>
        </is>
      </c>
      <c r="H107" s="10" t="inlineStr">
        <is>
          <t>top + bottom elbow per downpipe</t>
        </is>
      </c>
    </row>
    <row r="108">
      <c r="A108" s="9" t="inlineStr"/>
      <c r="B108" s="10" t="inlineStr">
        <is>
          <t>SL-14 | PVC Downpipe Clip</t>
        </is>
      </c>
      <c r="C108" s="11" t="n">
        <v>18</v>
      </c>
      <c r="D108" s="9" t="inlineStr">
        <is>
          <t>nr</t>
        </is>
      </c>
      <c r="E108" s="9" t="n"/>
      <c r="F108" s="9" t="n"/>
      <c r="G108" s="9" t="inlineStr">
        <is>
          <t>M</t>
        </is>
      </c>
      <c r="H108" s="10" t="inlineStr">
        <is>
          <t>approx 3 clips per 3 m drop</t>
        </is>
      </c>
    </row>
    <row r="109" ht="4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>
      <c r="A110" s="27" t="inlineStr"/>
      <c r="B110" s="28" t="inlineStr">
        <is>
          <t>Fixing | Roof Tek Screw, Hex Head, DP</t>
        </is>
      </c>
      <c r="C110" s="29" t="n">
        <v>11</v>
      </c>
      <c r="D110" s="27" t="inlineStr">
        <is>
          <t>boxes</t>
        </is>
      </c>
      <c r="E110" s="27" t="n"/>
      <c r="F110" s="27" t="n"/>
      <c r="G110" s="27" t="inlineStr">
        <is>
          <t>M</t>
        </is>
      </c>
      <c r="H110" s="28" t="inlineStr">
        <is>
          <t>1 box per 10 m² (approx 250 screws/box at 25 screws/m²)</t>
        </is>
      </c>
    </row>
    <row r="111" ht="6" customHeight="1"/>
    <row r="112" ht="20" customHeight="1">
      <c r="A112" s="3" t="inlineStr">
        <is>
          <t>50113</t>
        </is>
      </c>
      <c r="B112" s="4" t="n"/>
      <c r="C112" s="4" t="n"/>
      <c r="D112" s="4" t="n"/>
      <c r="E112" s="4" t="n"/>
      <c r="F112" s="4" t="n"/>
      <c r="G112" s="4" t="n"/>
      <c r="H112" s="5" t="n"/>
    </row>
    <row r="113" ht="16" customHeight="1">
      <c r="A113" s="6" t="inlineStr">
        <is>
          <t xml:space="preserve">  Wall Cladding</t>
        </is>
      </c>
      <c r="B113" s="7" t="n"/>
      <c r="C113" s="7" t="n"/>
      <c r="D113" s="7" t="n"/>
      <c r="E113" s="7" t="n"/>
      <c r="F113" s="7" t="n"/>
      <c r="G113" s="7" t="n"/>
      <c r="H113" s="8" t="n"/>
    </row>
    <row r="114">
      <c r="A114" s="9" t="inlineStr"/>
      <c r="B114" s="10" t="inlineStr">
        <is>
          <t>Accessories | Building Wrap / Sarking</t>
        </is>
      </c>
      <c r="C114" s="11" t="n">
        <v>96.77</v>
      </c>
      <c r="D114" s="9" t="inlineStr">
        <is>
          <t>m2</t>
        </is>
      </c>
      <c r="E114" s="9" t="n"/>
      <c r="F114" s="9" t="n"/>
      <c r="G114" s="9" t="inlineStr">
        <is>
          <t>M</t>
        </is>
      </c>
      <c r="H114" s="10" t="inlineStr">
        <is>
          <t>Includes 5% for laps. Gross area — no deduction for openings in sarking schedule.</t>
        </is>
      </c>
    </row>
    <row r="115" ht="4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>
      <c r="A116" s="27" t="inlineStr"/>
      <c r="B116" s="28" t="inlineStr">
        <is>
          <t>External Cladding | H-Joiner Strip</t>
        </is>
      </c>
      <c r="C116" s="29" t="n">
        <v>8</v>
      </c>
      <c r="D116" s="27" t="inlineStr">
        <is>
          <t>tubes</t>
        </is>
      </c>
      <c r="E116" s="27" t="n"/>
      <c r="F116" s="27" t="n"/>
      <c r="G116" s="27" t="inlineStr">
        <is>
          <t>L</t>
        </is>
      </c>
      <c r="H116" s="28" t="inlineStr">
        <is>
          <t>Polyurethane sealant at FC weatherboard H-joiner butt joins. 72 joiners ÷ 10 per tube = 8 tubes. Verify sealant colour m</t>
        </is>
      </c>
    </row>
    <row r="117">
      <c r="A117" s="17" t="inlineStr"/>
      <c r="B117" s="18" t="inlineStr">
        <is>
          <t>External Cladding | FC Weatherboard</t>
        </is>
      </c>
      <c r="C117" s="19" t="n">
        <v>77.51000000000001</v>
      </c>
      <c r="D117" s="17" t="inlineStr">
        <is>
          <t>m2</t>
        </is>
      </c>
      <c r="E117" s="17" t="n"/>
      <c r="F117" s="17" t="n"/>
      <c r="G117" s="17" t="inlineStr">
        <is>
          <t>H</t>
        </is>
      </c>
      <c r="H117" s="18" t="inlineStr">
        <is>
          <t>Gross 92.16 m² − doors 1.877 m² [DOOR_90×1(0.920×2.04)] − windows 12.775 m² [WINDOW_LOUVRE_1100×8(1.080×1.20), WINDOW_LO</t>
        </is>
      </c>
    </row>
    <row r="118">
      <c r="A118" s="9" t="inlineStr"/>
      <c r="B118" s="10" t="inlineStr">
        <is>
          <t>External Cladding | FC H-Joiner Extrusion</t>
        </is>
      </c>
      <c r="C118" s="11" t="n">
        <v>72</v>
      </c>
      <c r="D118" s="9" t="inlineStr">
        <is>
          <t>nr</t>
        </is>
      </c>
      <c r="E118" s="9" t="n"/>
      <c r="F118" s="9" t="n"/>
      <c r="G118" s="9" t="inlineStr">
        <is>
          <t>M</t>
        </is>
      </c>
      <c r="H118" s="10" t="inlineStr">
        <is>
          <t>H-joiners per façade face (joiners at butt-joins only, not corners). Verify count from cladding layout.</t>
        </is>
      </c>
    </row>
    <row r="119">
      <c r="A119" s="9" t="inlineStr"/>
      <c r="B119" s="10" t="inlineStr">
        <is>
          <t>External Cladding | Corner Flashing, Galvanised</t>
        </is>
      </c>
      <c r="C119" s="11" t="n">
        <v>4</v>
      </c>
      <c r="D119" s="9" t="inlineStr">
        <is>
          <t>nr</t>
        </is>
      </c>
      <c r="E119" s="9" t="n"/>
      <c r="F119" s="9" t="n"/>
      <c r="G119" s="9" t="inlineStr">
        <is>
          <t>M</t>
        </is>
      </c>
      <c r="H119" s="10" t="inlineStr">
        <is>
          <t>Corner count from building geometry (L=12.0m × W=7.2m rectangular = 4 corners). Verify against floor plan.</t>
        </is>
      </c>
    </row>
    <row r="120">
      <c r="A120" s="9" t="inlineStr"/>
      <c r="B120" s="10" t="inlineStr">
        <is>
          <t>External Cladding | Corner Trim / Angle Bead</t>
        </is>
      </c>
      <c r="C120" s="11" t="n">
        <v>9.6</v>
      </c>
      <c r="D120" s="9" t="inlineStr">
        <is>
          <t>lm</t>
        </is>
      </c>
      <c r="E120" s="9" t="n"/>
      <c r="F120" s="9" t="n"/>
      <c r="G120" s="9" t="inlineStr">
        <is>
          <t>M</t>
        </is>
      </c>
      <c r="H120" s="10" t="inlineStr">
        <is>
          <t>One trim per corner, full wall height. Verify profile and spec.</t>
        </is>
      </c>
    </row>
    <row r="121">
      <c r="A121" s="20" t="inlineStr"/>
      <c r="B121" s="21" t="inlineStr">
        <is>
          <t>Accessories | Building Wrap / Sarking</t>
        </is>
      </c>
      <c r="C121" s="22" t="n">
        <v>1</v>
      </c>
      <c r="D121" s="20" t="inlineStr">
        <is>
          <t>rolls</t>
        </is>
      </c>
      <c r="E121" s="20" t="n"/>
      <c r="F121" s="20" t="n"/>
      <c r="G121" s="20" t="inlineStr">
        <is>
          <t>L</t>
        </is>
      </c>
      <c r="H121" s="21" t="inlineStr">
        <is>
          <t>Lap tape for building wrap horizontal and vertical overlaps. 1 roll per ~100 m².</t>
        </is>
      </c>
    </row>
    <row r="122" ht="4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>
      <c r="A123" s="27" t="inlineStr"/>
      <c r="B123" s="28" t="inlineStr">
        <is>
          <t>External Cladding | FC Weatherboard Clip</t>
        </is>
      </c>
      <c r="C123" s="29" t="n">
        <v>768</v>
      </c>
      <c r="D123" s="27" t="inlineStr">
        <is>
          <t>nr</t>
        </is>
      </c>
      <c r="E123" s="27" t="n"/>
      <c r="F123" s="27" t="n"/>
      <c r="G123" s="27" t="inlineStr">
        <is>
          <t>M</t>
        </is>
      </c>
      <c r="H123" s="28" t="inlineStr">
        <is>
          <t>Stud clips at 600mm centres. Verify clip type from manufacturer spec.</t>
        </is>
      </c>
    </row>
    <row r="124">
      <c r="A124" s="27" t="inlineStr"/>
      <c r="B124" s="28" t="inlineStr">
        <is>
          <t>Fixing | Stainless Steel Screw (Cladding)</t>
        </is>
      </c>
      <c r="C124" s="29" t="n">
        <v>1536</v>
      </c>
      <c r="D124" s="27" t="inlineStr">
        <is>
          <t>nr</t>
        </is>
      </c>
      <c r="E124" s="27" t="n"/>
      <c r="F124" s="27" t="n"/>
      <c r="G124" s="27" t="inlineStr">
        <is>
          <t>L</t>
        </is>
      </c>
      <c r="H124" s="28" t="inlineStr">
        <is>
          <t>2 × stainless screws per fixing clip. Verify size and type from spec.</t>
        </is>
      </c>
    </row>
    <row r="125" ht="14" customHeight="1">
      <c r="A125" s="12" t="inlineStr">
        <is>
          <t>▸ Items below require manual review / site confirmation</t>
        </is>
      </c>
      <c r="B125" s="13" t="n"/>
      <c r="C125" s="13" t="n"/>
      <c r="D125" s="13" t="n"/>
      <c r="E125" s="13" t="n"/>
      <c r="F125" s="13" t="n"/>
      <c r="G125" s="13" t="n"/>
      <c r="H125" s="13" t="n"/>
    </row>
    <row r="126">
      <c r="A126" s="14" t="inlineStr"/>
      <c r="B126" s="15" t="inlineStr">
        <is>
          <t>External Cladding | FC Weatherboard (Board Count)</t>
        </is>
      </c>
      <c r="C126" s="16" t="n">
        <v>126</v>
      </c>
      <c r="D126" s="14" t="inlineStr">
        <is>
          <t>nr</t>
        </is>
      </c>
      <c r="E126" s="14" t="n"/>
      <c r="F126" s="14" t="n"/>
      <c r="G126" s="14" t="inlineStr">
        <is>
          <t>M</t>
        </is>
      </c>
      <c r="H126" s="15" t="inlineStr">
        <is>
          <t>MANUAL REVIEW REQUIRED. Weatherboard: 200mm exposure, 4200mm stock length. Count includes 5% waste.  Verify board profil</t>
        </is>
      </c>
    </row>
    <row r="127">
      <c r="A127" s="14" t="inlineStr"/>
      <c r="B127" s="15" t="inlineStr">
        <is>
          <t>External Cladding | FC Weatherboard (Supply lm)</t>
        </is>
      </c>
      <c r="C127" s="16" t="n">
        <v>529.2</v>
      </c>
      <c r="D127" s="14" t="inlineStr">
        <is>
          <t>lm</t>
        </is>
      </c>
      <c r="E127" s="14" t="n"/>
      <c r="F127" s="14" t="n"/>
      <c r="G127" s="14" t="inlineStr">
        <is>
          <t>M</t>
        </is>
      </c>
      <c r="H127" s="15" t="inlineStr">
        <is>
          <t>MANUAL REVIEW REQUIRED. Total FC weatherboard supply in lineal metres. 126 boards × 4.2m stock length = 529.2 lm. Includ</t>
        </is>
      </c>
    </row>
    <row r="128">
      <c r="A128" s="14" t="inlineStr"/>
      <c r="B128" s="15" t="inlineStr">
        <is>
          <t>Window / Door Reveal Trim (FC / timber)</t>
        </is>
      </c>
      <c r="C128" s="16" t="n">
        <v>40.33</v>
      </c>
      <c r="D128" s="14" t="inlineStr">
        <is>
          <t>lm</t>
        </is>
      </c>
      <c r="E128" s="14" t="n"/>
      <c r="F128" s="14" t="n"/>
      <c r="G128" s="14" t="inlineStr">
        <is>
          <t>M</t>
        </is>
      </c>
      <c r="H128" s="15" t="inlineStr">
        <is>
          <t>MANUAL REVIEW REQUIRED. Jamb / reveal trim at external cladding openings: 2 × height + 1 × width per opening. Louvre h=0</t>
        </is>
      </c>
    </row>
    <row r="129" ht="6" customHeight="1"/>
    <row r="130" ht="20" customHeight="1">
      <c r="A130" s="3" t="inlineStr">
        <is>
          <t>50114</t>
        </is>
      </c>
      <c r="B130" s="4" t="n"/>
      <c r="C130" s="4" t="n"/>
      <c r="D130" s="4" t="n"/>
      <c r="E130" s="4" t="n"/>
      <c r="F130" s="4" t="n"/>
      <c r="G130" s="4" t="n"/>
      <c r="H130" s="5" t="n"/>
    </row>
    <row r="131" ht="16" customHeight="1">
      <c r="A131" s="6" t="inlineStr">
        <is>
          <t xml:space="preserve">  Doors</t>
        </is>
      </c>
      <c r="B131" s="7" t="n"/>
      <c r="C131" s="7" t="n"/>
      <c r="D131" s="7" t="n"/>
      <c r="E131" s="7" t="n"/>
      <c r="F131" s="7" t="n"/>
      <c r="G131" s="7" t="n"/>
      <c r="H131" s="8" t="n"/>
    </row>
    <row r="132">
      <c r="A132" s="17" t="inlineStr"/>
      <c r="B132" s="18" t="inlineStr">
        <is>
          <t>Door | 920mm Wide (DOOR_90)</t>
        </is>
      </c>
      <c r="C132" s="19" t="n">
        <v>1</v>
      </c>
      <c r="D132" s="17" t="inlineStr">
        <is>
          <t>nr</t>
        </is>
      </c>
      <c r="E132" s="17" t="n"/>
      <c r="F132" s="17" t="n"/>
      <c r="G132" s="17" t="inlineStr">
        <is>
          <t>H</t>
        </is>
      </c>
      <c r="H132" s="18" t="inlineStr">
        <is>
          <t>swing=hinged</t>
        </is>
      </c>
    </row>
    <row r="133">
      <c r="A133" s="17" t="inlineStr"/>
      <c r="B133" s="18" t="inlineStr">
        <is>
          <t>Door | 820mm Wide (DOOR_82)</t>
        </is>
      </c>
      <c r="C133" s="19" t="n">
        <v>4</v>
      </c>
      <c r="D133" s="17" t="inlineStr">
        <is>
          <t>nr</t>
        </is>
      </c>
      <c r="E133" s="17" t="n"/>
      <c r="F133" s="17" t="n"/>
      <c r="G133" s="17" t="inlineStr">
        <is>
          <t>H</t>
        </is>
      </c>
      <c r="H133" s="18" t="inlineStr">
        <is>
          <t>swing=hinged</t>
        </is>
      </c>
    </row>
    <row r="134">
      <c r="A134" s="17" t="inlineStr"/>
      <c r="B134" s="18" t="inlineStr">
        <is>
          <t>Door | 720mm Wide (DOOR_72)</t>
        </is>
      </c>
      <c r="C134" s="19" t="n">
        <v>1</v>
      </c>
      <c r="D134" s="17" t="inlineStr">
        <is>
          <t>nr</t>
        </is>
      </c>
      <c r="E134" s="17" t="n"/>
      <c r="F134" s="17" t="n"/>
      <c r="G134" s="17" t="inlineStr">
        <is>
          <t>H</t>
        </is>
      </c>
      <c r="H134" s="18" t="inlineStr">
        <is>
          <t>swing=hinged</t>
        </is>
      </c>
    </row>
    <row r="135">
      <c r="A135" s="17" t="inlineStr"/>
      <c r="B135" s="18" t="inlineStr">
        <is>
          <t>Door — Total Count (all marks)</t>
        </is>
      </c>
      <c r="C135" s="19" t="n">
        <v>6</v>
      </c>
      <c r="D135" s="17" t="inlineStr">
        <is>
          <t>nr</t>
        </is>
      </c>
      <c r="E135" s="17" t="n"/>
      <c r="F135" s="17" t="n"/>
      <c r="G135" s="17" t="inlineStr">
        <is>
          <t>H</t>
        </is>
      </c>
      <c r="H135" s="18" t="inlineStr">
        <is>
          <t>Total doors across all marks: DOOR_90 (hinged) ×1, DOOR_82 (hinged) ×4, DOOR_72 (hinged) ×1 = 6 nr.</t>
        </is>
      </c>
    </row>
    <row r="136">
      <c r="A136" s="9" t="inlineStr"/>
      <c r="B136" s="10" t="inlineStr">
        <is>
          <t>Flashing | Door Head, Galvanised</t>
        </is>
      </c>
      <c r="C136" s="11" t="n">
        <v>5.52</v>
      </c>
      <c r="D136" s="9" t="inlineStr">
        <is>
          <t>lm</t>
        </is>
      </c>
      <c r="E136" s="9" t="n"/>
      <c r="F136" s="9" t="n"/>
      <c r="G136" s="9" t="inlineStr">
        <is>
          <t>M</t>
        </is>
      </c>
      <c r="H136" s="10" t="inlineStr">
        <is>
          <t>Head flashing extends 50 mm beyond door frame each side.</t>
        </is>
      </c>
    </row>
    <row r="137">
      <c r="A137" s="17" t="inlineStr"/>
      <c r="B137" s="18" t="inlineStr">
        <is>
          <t>Door — Leaf Supply</t>
        </is>
      </c>
      <c r="C137" s="19" t="n">
        <v>1</v>
      </c>
      <c r="D137" s="17" t="inlineStr">
        <is>
          <t>nr</t>
        </is>
      </c>
      <c r="E137" s="17" t="n"/>
      <c r="F137" s="17" t="n"/>
      <c r="G137" s="17" t="inlineStr">
        <is>
          <t>H</t>
        </is>
      </c>
      <c r="H137" s="18" t="inlineStr">
        <is>
          <t>opening_mark=DOOR_90</t>
        </is>
      </c>
    </row>
    <row r="138">
      <c r="A138" s="17" t="inlineStr"/>
      <c r="B138" s="18" t="inlineStr">
        <is>
          <t>Door — Leaf Supply</t>
        </is>
      </c>
      <c r="C138" s="19" t="n">
        <v>4</v>
      </c>
      <c r="D138" s="17" t="inlineStr">
        <is>
          <t>nr</t>
        </is>
      </c>
      <c r="E138" s="17" t="n"/>
      <c r="F138" s="17" t="n"/>
      <c r="G138" s="17" t="inlineStr">
        <is>
          <t>H</t>
        </is>
      </c>
      <c r="H138" s="18" t="inlineStr">
        <is>
          <t>opening_mark=DOOR_82</t>
        </is>
      </c>
    </row>
    <row r="139">
      <c r="A139" s="17" t="inlineStr"/>
      <c r="B139" s="18" t="inlineStr">
        <is>
          <t>Door — Leaf Supply</t>
        </is>
      </c>
      <c r="C139" s="19" t="n">
        <v>1</v>
      </c>
      <c r="D139" s="17" t="inlineStr">
        <is>
          <t>nr</t>
        </is>
      </c>
      <c r="E139" s="17" t="n"/>
      <c r="F139" s="17" t="n"/>
      <c r="G139" s="17" t="inlineStr">
        <is>
          <t>H</t>
        </is>
      </c>
      <c r="H139" s="18" t="inlineStr">
        <is>
          <t>opening_mark=DOOR_72</t>
        </is>
      </c>
    </row>
    <row r="140">
      <c r="A140" s="17" t="inlineStr"/>
      <c r="B140" s="18" t="inlineStr">
        <is>
          <t>Door — Frame Set</t>
        </is>
      </c>
      <c r="C140" s="19" t="n">
        <v>1</v>
      </c>
      <c r="D140" s="17" t="inlineStr">
        <is>
          <t>nr</t>
        </is>
      </c>
      <c r="E140" s="17" t="n"/>
      <c r="F140" s="17" t="n"/>
      <c r="G140" s="17" t="inlineStr">
        <is>
          <t>H</t>
        </is>
      </c>
      <c r="H140" s="18" t="inlineStr">
        <is>
          <t>opening_mark=DOOR_90</t>
        </is>
      </c>
    </row>
    <row r="141">
      <c r="A141" s="17" t="inlineStr"/>
      <c r="B141" s="18" t="inlineStr">
        <is>
          <t>Door — Frame Set</t>
        </is>
      </c>
      <c r="C141" s="19" t="n">
        <v>4</v>
      </c>
      <c r="D141" s="17" t="inlineStr">
        <is>
          <t>nr</t>
        </is>
      </c>
      <c r="E141" s="17" t="n"/>
      <c r="F141" s="17" t="n"/>
      <c r="G141" s="17" t="inlineStr">
        <is>
          <t>H</t>
        </is>
      </c>
      <c r="H141" s="18" t="inlineStr">
        <is>
          <t>opening_mark=DOOR_82</t>
        </is>
      </c>
    </row>
    <row r="142">
      <c r="A142" s="17" t="inlineStr"/>
      <c r="B142" s="18" t="inlineStr">
        <is>
          <t>Door — Frame Set</t>
        </is>
      </c>
      <c r="C142" s="19" t="n">
        <v>1</v>
      </c>
      <c r="D142" s="17" t="inlineStr">
        <is>
          <t>nr</t>
        </is>
      </c>
      <c r="E142" s="17" t="n"/>
      <c r="F142" s="17" t="n"/>
      <c r="G142" s="17" t="inlineStr">
        <is>
          <t>H</t>
        </is>
      </c>
      <c r="H142" s="18" t="inlineStr">
        <is>
          <t>opening_mark=DOOR_72</t>
        </is>
      </c>
    </row>
    <row r="143">
      <c r="A143" s="9" t="inlineStr"/>
      <c r="B143" s="10" t="inlineStr">
        <is>
          <t>Door Frame — Total Family lm (all marks combined)</t>
        </is>
      </c>
      <c r="C143" s="11" t="n">
        <v>29.4</v>
      </c>
      <c r="D143" s="9" t="inlineStr">
        <is>
          <t>lm</t>
        </is>
      </c>
      <c r="E143" s="9" t="n"/>
      <c r="F143" s="9" t="n"/>
      <c r="G143" s="9" t="inlineStr">
        <is>
          <t>M</t>
        </is>
      </c>
      <c r="H143" s="10" t="inlineStr">
        <is>
          <t>Total door frame perimeter for all 6 doors. Heights from DXF/schedule. Widths from DXF block names (HIGH). Use for frame</t>
        </is>
      </c>
    </row>
    <row r="144" ht="14" customHeight="1">
      <c r="A144" s="12" t="inlineStr">
        <is>
          <t>▸ Items below require manual review / site confirmation</t>
        </is>
      </c>
      <c r="B144" s="13" t="n"/>
      <c r="C144" s="13" t="n"/>
      <c r="D144" s="13" t="n"/>
      <c r="E144" s="13" t="n"/>
      <c r="F144" s="13" t="n"/>
      <c r="G144" s="13" t="n"/>
      <c r="H144" s="13" t="n"/>
    </row>
    <row r="145">
      <c r="A145" s="14" t="inlineStr"/>
      <c r="B145" s="15" t="inlineStr">
        <is>
          <t>Flashing | Door Sill, Galvanised</t>
        </is>
      </c>
      <c r="C145" s="16" t="n">
        <v>1.02</v>
      </c>
      <c r="D145" s="14" t="inlineStr">
        <is>
          <t>lm</t>
        </is>
      </c>
      <c r="E145" s="14" t="n"/>
      <c r="F145" s="14" t="n"/>
      <c r="G145" s="14" t="inlineStr">
        <is>
          <t>M</t>
        </is>
      </c>
      <c r="H145" s="15" t="inlineStr">
        <is>
          <t>MANUAL REVIEW REQUIRED. Sill flashing for external doors only (width ≥ 850mm threshold). Classified external: DOOR_90×1.</t>
        </is>
      </c>
    </row>
    <row r="146" ht="16" customHeight="1">
      <c r="A146" s="6" t="inlineStr">
        <is>
          <t xml:space="preserve">  Door Hardware</t>
        </is>
      </c>
      <c r="B146" s="7" t="n"/>
      <c r="C146" s="7" t="n"/>
      <c r="D146" s="7" t="n"/>
      <c r="E146" s="7" t="n"/>
      <c r="F146" s="7" t="n"/>
      <c r="G146" s="7" t="n"/>
      <c r="H146" s="8" t="n"/>
    </row>
    <row r="147">
      <c r="A147" s="9" t="inlineStr"/>
      <c r="B147" s="10" t="inlineStr">
        <is>
          <t>Door | Hinge (pair)</t>
        </is>
      </c>
      <c r="C147" s="11" t="n">
        <v>18</v>
      </c>
      <c r="D147" s="9" t="inlineStr">
        <is>
          <t>nr</t>
        </is>
      </c>
      <c r="E147" s="9" t="n"/>
      <c r="F147" s="9" t="n"/>
      <c r="G147" s="9" t="inlineStr">
        <is>
          <t>M</t>
        </is>
      </c>
      <c r="H147" s="10" t="inlineStr">
        <is>
          <t>[Commercial total — 3 types combined: opening_mark=DOOR_90  3 pairs per door (standard, opening_mark=DOOR_82  3 pairs pe</t>
        </is>
      </c>
    </row>
    <row r="148">
      <c r="A148" s="17" t="inlineStr"/>
      <c r="B148" s="18" t="inlineStr">
        <is>
          <t>Door | Lockset</t>
        </is>
      </c>
      <c r="C148" s="19" t="n">
        <v>6</v>
      </c>
      <c r="D148" s="17" t="inlineStr">
        <is>
          <t>nr</t>
        </is>
      </c>
      <c r="E148" s="17" t="n"/>
      <c r="F148" s="17" t="n"/>
      <c r="G148" s="17" t="inlineStr">
        <is>
          <t>H</t>
        </is>
      </c>
      <c r="H148" s="18" t="inlineStr">
        <is>
          <t>[Commercial total — 3 types combined: opening_mark=DOOR_90, opening_mark=DOOR_82, opening_mark=DOOR_72] opening_mark=DOO</t>
        </is>
      </c>
    </row>
    <row r="149">
      <c r="A149" s="17" t="inlineStr"/>
      <c r="B149" s="18" t="inlineStr">
        <is>
          <t>Door | Stop</t>
        </is>
      </c>
      <c r="C149" s="19" t="n">
        <v>6</v>
      </c>
      <c r="D149" s="17" t="inlineStr">
        <is>
          <t>nr</t>
        </is>
      </c>
      <c r="E149" s="17" t="n"/>
      <c r="F149" s="17" t="n"/>
      <c r="G149" s="17" t="inlineStr">
        <is>
          <t>H</t>
        </is>
      </c>
      <c r="H149" s="18" t="inlineStr">
        <is>
          <t>[Commercial total — 3 types combined: opening_mark=DOOR_90, opening_mark=DOOR_82, opening_mark=DOOR_72] opening_mark=DOO</t>
        </is>
      </c>
    </row>
    <row r="150" ht="14" customHeight="1">
      <c r="A150" s="12" t="inlineStr">
        <is>
          <t>▸ Items below require manual review / site confirmation</t>
        </is>
      </c>
      <c r="B150" s="13" t="n"/>
      <c r="C150" s="13" t="n"/>
      <c r="D150" s="13" t="n"/>
      <c r="E150" s="13" t="n"/>
      <c r="F150" s="13" t="n"/>
      <c r="G150" s="13" t="n"/>
      <c r="H150" s="13" t="n"/>
    </row>
    <row r="151">
      <c r="A151" s="14" t="inlineStr"/>
      <c r="B151" s="15" t="inlineStr">
        <is>
          <t>Door | Closer, Hydraulic</t>
        </is>
      </c>
      <c r="C151" s="16" t="n">
        <v>1</v>
      </c>
      <c r="D151" s="14" t="inlineStr">
        <is>
          <t>nr</t>
        </is>
      </c>
      <c r="E151" s="14" t="n"/>
      <c r="F151" s="14" t="n"/>
      <c r="G151" s="14" t="inlineStr">
        <is>
          <t>M</t>
        </is>
      </c>
      <c r="H151" s="15" t="inlineStr">
        <is>
          <t>MANUAL REVIEW REQUIRED. Door closer inferred for pharmacy entrance doors. Marks: DOOR_90 (1 nr). Verify which doors requ</t>
        </is>
      </c>
    </row>
    <row r="152" ht="16" customHeight="1">
      <c r="A152" s="6" t="inlineStr">
        <is>
          <t xml:space="preserve">  Windows</t>
        </is>
      </c>
      <c r="B152" s="7" t="n"/>
      <c r="C152" s="7" t="n"/>
      <c r="D152" s="7" t="n"/>
      <c r="E152" s="7" t="n"/>
      <c r="F152" s="7" t="n"/>
      <c r="G152" s="7" t="n"/>
      <c r="H152" s="8" t="n"/>
    </row>
    <row r="153">
      <c r="A153" s="9" t="inlineStr"/>
      <c r="B153" s="10" t="inlineStr">
        <is>
          <t>Window | Louvre, 1100mm Wide</t>
        </is>
      </c>
      <c r="C153" s="11" t="n">
        <v>8</v>
      </c>
      <c r="D153" s="9" t="inlineStr">
        <is>
          <t>nr</t>
        </is>
      </c>
      <c r="E153" s="9" t="n"/>
      <c r="F153" s="9" t="n"/>
      <c r="G153" s="9" t="inlineStr">
        <is>
          <t>M</t>
        </is>
      </c>
      <c r="H153" s="10" t="inlineStr">
        <is>
          <t>type=louvre</t>
        </is>
      </c>
    </row>
    <row r="154">
      <c r="A154" s="9" t="inlineStr"/>
      <c r="B154" s="10" t="inlineStr">
        <is>
          <t>Window | Louvre, 800mm Wide</t>
        </is>
      </c>
      <c r="C154" s="11" t="n">
        <v>2</v>
      </c>
      <c r="D154" s="9" t="inlineStr">
        <is>
          <t>nr</t>
        </is>
      </c>
      <c r="E154" s="9" t="n"/>
      <c r="F154" s="9" t="n"/>
      <c r="G154" s="9" t="inlineStr">
        <is>
          <t>M</t>
        </is>
      </c>
      <c r="H154" s="10" t="inlineStr">
        <is>
          <t>type=louvre</t>
        </is>
      </c>
    </row>
    <row r="155">
      <c r="A155" s="9" t="inlineStr"/>
      <c r="B155" s="10" t="inlineStr">
        <is>
          <t>Window | Louvre, 1800mm Wide</t>
        </is>
      </c>
      <c r="C155" s="11" t="n">
        <v>1</v>
      </c>
      <c r="D155" s="9" t="inlineStr">
        <is>
          <t>nr</t>
        </is>
      </c>
      <c r="E155" s="9" t="n"/>
      <c r="F155" s="9" t="n"/>
      <c r="G155" s="9" t="inlineStr">
        <is>
          <t>M</t>
        </is>
      </c>
      <c r="H155" s="10" t="inlineStr">
        <is>
          <t>type=louvre</t>
        </is>
      </c>
    </row>
    <row r="156">
      <c r="A156" s="9" t="inlineStr"/>
      <c r="B156" s="10" t="inlineStr">
        <is>
          <t>Window — Total Count (all marks)</t>
        </is>
      </c>
      <c r="C156" s="11" t="n">
        <v>11</v>
      </c>
      <c r="D156" s="9" t="inlineStr">
        <is>
          <t>nr</t>
        </is>
      </c>
      <c r="E156" s="9" t="n"/>
      <c r="F156" s="9" t="n"/>
      <c r="G156" s="9" t="inlineStr">
        <is>
          <t>M</t>
        </is>
      </c>
      <c r="H156" s="10" t="inlineStr">
        <is>
          <t>Total windows across all marks: WINDOW_LOUVRE_1100 (louvre) ×8, WINDOW_LOUVRE_800 (louvre) ×2, WINDOW_LOUVRE_1800 (louvr</t>
        </is>
      </c>
    </row>
    <row r="157">
      <c r="A157" s="9" t="inlineStr"/>
      <c r="B157" s="10" t="inlineStr">
        <is>
          <t>Window | Louvre Frame</t>
        </is>
      </c>
      <c r="C157" s="11" t="n">
        <v>11</v>
      </c>
      <c r="D157" s="9" t="inlineStr">
        <is>
          <t>nr</t>
        </is>
      </c>
      <c r="E157" s="9" t="n"/>
      <c r="F157" s="9" t="n"/>
      <c r="G157" s="9" t="inlineStr">
        <is>
          <t>M</t>
        </is>
      </c>
      <c r="H157" s="10" t="inlineStr">
        <is>
          <t>[Commercial total — 3 types combined: opening_mark=WINDOW_LOUVRE_1100, opening_mark=WINDOW_LOUVRE_800, opening_mark=WIND</t>
        </is>
      </c>
    </row>
    <row r="158" ht="14" customHeight="1">
      <c r="A158" s="12" t="inlineStr">
        <is>
          <t>▸ Items below require manual review / site confirmation</t>
        </is>
      </c>
      <c r="B158" s="13" t="n"/>
      <c r="C158" s="13" t="n"/>
      <c r="D158" s="13" t="n"/>
      <c r="E158" s="13" t="n"/>
      <c r="F158" s="13" t="n"/>
      <c r="G158" s="13" t="n"/>
      <c r="H158" s="13" t="n"/>
    </row>
    <row r="159">
      <c r="A159" s="14" t="inlineStr"/>
      <c r="B159" s="15" t="inlineStr">
        <is>
          <t>Window | Louvre Frame, Total (lm)</t>
        </is>
      </c>
      <c r="C159" s="16" t="n">
        <v>35.33</v>
      </c>
      <c r="D159" s="14" t="inlineStr">
        <is>
          <t>lm</t>
        </is>
      </c>
      <c r="E159" s="14" t="n"/>
      <c r="F159" s="14" t="n"/>
      <c r="G159" s="14" t="inlineStr">
        <is>
          <t>L</t>
        </is>
      </c>
      <c r="H159" s="15" t="inlineStr">
        <is>
          <t>MANUAL REVIEW REQUIRED. Total louvre window frame perimeter for all 11 windows. WINDOW_LOUVRE_1100 (h=1.203m) and WINDOW</t>
        </is>
      </c>
    </row>
    <row r="160" ht="16" customHeight="1">
      <c r="A160" s="6" t="inlineStr">
        <is>
          <t xml:space="preserve">  Window Accessories</t>
        </is>
      </c>
      <c r="B160" s="7" t="n"/>
      <c r="C160" s="7" t="n"/>
      <c r="D160" s="7" t="n"/>
      <c r="E160" s="7" t="n"/>
      <c r="F160" s="7" t="n"/>
      <c r="G160" s="7" t="n"/>
      <c r="H160" s="8" t="n"/>
    </row>
    <row r="161">
      <c r="A161" s="9" t="inlineStr"/>
      <c r="B161" s="10" t="inlineStr">
        <is>
          <t>Flashing | Window Head, Galvanised</t>
        </is>
      </c>
      <c r="C161" s="11" t="n">
        <v>13.19</v>
      </c>
      <c r="D161" s="9" t="inlineStr">
        <is>
          <t>lm</t>
        </is>
      </c>
      <c r="E161" s="9" t="n"/>
      <c r="F161" s="9" t="n"/>
      <c r="G161" s="9" t="inlineStr">
        <is>
          <t>M</t>
        </is>
      </c>
      <c r="H161" s="10" t="inlineStr">
        <is>
          <t>[Commercial total — 3 types combined: Head flashing extends 50 mm beyond frame each side., Head flashing extends 50 mm b</t>
        </is>
      </c>
    </row>
    <row r="162">
      <c r="A162" s="9" t="inlineStr"/>
      <c r="B162" s="10" t="inlineStr">
        <is>
          <t>Flashing | Window Sill, Galvanised</t>
        </is>
      </c>
      <c r="C162" s="11" t="n">
        <v>13.19</v>
      </c>
      <c r="D162" s="9" t="inlineStr">
        <is>
          <t>lm</t>
        </is>
      </c>
      <c r="E162" s="9" t="n"/>
      <c r="F162" s="9" t="n"/>
      <c r="G162" s="9" t="inlineStr">
        <is>
          <t>M</t>
        </is>
      </c>
      <c r="H162" s="10" t="inlineStr">
        <is>
          <t>[Commercial total — 3 types combined: Sill flashing same lm as head flashing. Remove if window sits on masonry sill., Si</t>
        </is>
      </c>
    </row>
    <row r="163">
      <c r="A163" s="9" t="inlineStr"/>
      <c r="B163" s="10" t="inlineStr">
        <is>
          <t>Window | Louvre Blade, 1100mm Wide</t>
        </is>
      </c>
      <c r="C163" s="11" t="n">
        <v>104</v>
      </c>
      <c r="D163" s="9" t="inlineStr">
        <is>
          <t>nr</t>
        </is>
      </c>
      <c r="E163" s="9" t="n"/>
      <c r="F163" s="9" t="n"/>
      <c r="G163" s="9" t="inlineStr">
        <is>
          <t>M</t>
        </is>
      </c>
      <c r="H163" s="10" t="inlineStr">
        <is>
          <t>Frame height 1203 mm (from opening_schedule). 13 blades per frame at 100 mm pitch. Verify blade count and size from wind</t>
        </is>
      </c>
    </row>
    <row r="164">
      <c r="A164" s="9" t="inlineStr"/>
      <c r="B164" s="10" t="inlineStr">
        <is>
          <t>Window | Louvre Blade, 800mm Wide</t>
        </is>
      </c>
      <c r="C164" s="11" t="n">
        <v>14</v>
      </c>
      <c r="D164" s="9" t="inlineStr">
        <is>
          <t>nr</t>
        </is>
      </c>
      <c r="E164" s="9" t="n"/>
      <c r="F164" s="9" t="n"/>
      <c r="G164" s="9" t="inlineStr">
        <is>
          <t>M</t>
        </is>
      </c>
      <c r="H164" s="10" t="inlineStr">
        <is>
          <t>Frame height 623 mm (from opening_schedule). 7 blades per frame at 100 mm pitch. Verify blade count and size from window</t>
        </is>
      </c>
    </row>
    <row r="165">
      <c r="A165" s="9" t="inlineStr"/>
      <c r="B165" s="10" t="inlineStr">
        <is>
          <t>Window | Louvre Blade</t>
        </is>
      </c>
      <c r="C165" s="11" t="n">
        <v>11</v>
      </c>
      <c r="D165" s="9" t="inlineStr">
        <is>
          <t>nr</t>
        </is>
      </c>
      <c r="E165" s="9" t="n"/>
      <c r="F165" s="9" t="n"/>
      <c r="G165" s="9" t="inlineStr">
        <is>
          <t>M</t>
        </is>
      </c>
      <c r="H165" s="10" t="inlineStr">
        <is>
          <t>[Commercial total — 3 types combined: opening_mark=WINDOW_LOUVRE_1100, opening_mark=WINDOW_LOUVRE_800, opening_mark=WIND</t>
        </is>
      </c>
    </row>
    <row r="166">
      <c r="A166" s="9" t="inlineStr"/>
      <c r="B166" s="10" t="inlineStr">
        <is>
          <t>Window | Fly Screen, 1100mm Wide</t>
        </is>
      </c>
      <c r="C166" s="11" t="n">
        <v>10.39</v>
      </c>
      <c r="D166" s="9" t="inlineStr">
        <is>
          <t>m2</t>
        </is>
      </c>
      <c r="E166" s="9" t="n"/>
      <c r="F166" s="9" t="n"/>
      <c r="G166" s="9" t="inlineStr">
        <is>
          <t>M</t>
        </is>
      </c>
      <c r="H166" s="10" t="inlineStr">
        <is>
          <t>Fly screen for louvre window WINDOW_LOUVRE_1100 (8 nr). Area: 1.08m × 1.203m = 1.299 m² each. Tropical building — all lo</t>
        </is>
      </c>
    </row>
    <row r="167">
      <c r="A167" s="9" t="inlineStr"/>
      <c r="B167" s="10" t="inlineStr">
        <is>
          <t>Window | Fly Screen, 800mm Wide</t>
        </is>
      </c>
      <c r="C167" s="11" t="n">
        <v>1</v>
      </c>
      <c r="D167" s="9" t="inlineStr">
        <is>
          <t>m2</t>
        </is>
      </c>
      <c r="E167" s="9" t="n"/>
      <c r="F167" s="9" t="n"/>
      <c r="G167" s="9" t="inlineStr">
        <is>
          <t>M</t>
        </is>
      </c>
      <c r="H167" s="10" t="inlineStr">
        <is>
          <t>Fly screen for louvre window WINDOW_LOUVRE_800 (2 nr). Area: 0.80m × 0.623m = 0.498 m² each. Tropical building — all lou</t>
        </is>
      </c>
    </row>
    <row r="168">
      <c r="A168" s="9" t="inlineStr"/>
      <c r="B168" s="10" t="inlineStr">
        <is>
          <t>Window | Fly Screen</t>
        </is>
      </c>
      <c r="C168" s="11" t="n">
        <v>11</v>
      </c>
      <c r="D168" s="9" t="inlineStr">
        <is>
          <t>nr</t>
        </is>
      </c>
      <c r="E168" s="9" t="n"/>
      <c r="F168" s="9" t="n"/>
      <c r="G168" s="9" t="inlineStr">
        <is>
          <t>M</t>
        </is>
      </c>
      <c r="H168" s="10" t="inlineStr">
        <is>
          <t>[Commercial total — 3 types combined: opening_mark=WINDOW_LOUVRE_1100, opening_mark=WINDOW_LOUVRE_800, opening_mark=WIND</t>
        </is>
      </c>
    </row>
    <row r="169" ht="14" customHeight="1">
      <c r="A169" s="12" t="inlineStr">
        <is>
          <t>▸ Items below require manual review / site confirmation</t>
        </is>
      </c>
      <c r="B169" s="13" t="n"/>
      <c r="C169" s="13" t="n"/>
      <c r="D169" s="13" t="n"/>
      <c r="E169" s="13" t="n"/>
      <c r="F169" s="13" t="n"/>
      <c r="G169" s="13" t="n"/>
      <c r="H169" s="13" t="n"/>
    </row>
    <row r="170">
      <c r="A170" s="14" t="inlineStr"/>
      <c r="B170" s="15" t="inlineStr">
        <is>
          <t>Window | Louvre Blade, 1800mm Wide</t>
        </is>
      </c>
      <c r="C170" s="16" t="n">
        <v>8</v>
      </c>
      <c r="D170" s="14" t="inlineStr">
        <is>
          <t>nr</t>
        </is>
      </c>
      <c r="E170" s="14" t="n"/>
      <c r="F170" s="14" t="n"/>
      <c r="G170" s="14" t="inlineStr">
        <is>
          <t>L</t>
        </is>
      </c>
      <c r="H170" s="15" t="inlineStr">
        <is>
          <t>MANUAL REVIEW REQUIRED. BLOCKED PENDING WINDOW SCHEDULE: Window height not available in DXF block geometry or opening sc</t>
        </is>
      </c>
    </row>
    <row r="171">
      <c r="A171" s="14" t="inlineStr"/>
      <c r="B171" s="15" t="inlineStr">
        <is>
          <t>Window | Fly Screen, 1800mm Wide</t>
        </is>
      </c>
      <c r="C171" s="16" t="n">
        <v>1.39</v>
      </c>
      <c r="D171" s="14" t="inlineStr">
        <is>
          <t>m2</t>
        </is>
      </c>
      <c r="E171" s="14" t="n"/>
      <c r="F171" s="14" t="n"/>
      <c r="G171" s="14" t="inlineStr">
        <is>
          <t>L</t>
        </is>
      </c>
      <c r="H171" s="15" t="inlineStr">
        <is>
          <t>MANUAL REVIEW REQUIRED. BLOCKED PENDING WINDOW SCHEDULE: Height not available in DXF for WINDOW_LOUVRE_1800 — using conf</t>
        </is>
      </c>
    </row>
    <row r="172" ht="6" customHeight="1"/>
    <row r="173" ht="20" customHeight="1">
      <c r="A173" s="3" t="inlineStr">
        <is>
          <t>50115</t>
        </is>
      </c>
      <c r="B173" s="4" t="n"/>
      <c r="C173" s="4" t="n"/>
      <c r="D173" s="4" t="n"/>
      <c r="E173" s="4" t="n"/>
      <c r="F173" s="4" t="n"/>
      <c r="G173" s="4" t="n"/>
      <c r="H173" s="5" t="n"/>
    </row>
    <row r="174" ht="16" customHeight="1">
      <c r="A174" s="6" t="inlineStr">
        <is>
          <t xml:space="preserve">  Ceiling Finishes</t>
        </is>
      </c>
      <c r="B174" s="7" t="n"/>
      <c r="C174" s="7" t="n"/>
      <c r="D174" s="7" t="n"/>
      <c r="E174" s="7" t="n"/>
      <c r="F174" s="7" t="n"/>
      <c r="G174" s="7" t="n"/>
      <c r="H174" s="8" t="n"/>
    </row>
    <row r="175">
      <c r="A175" s="17" t="inlineStr"/>
      <c r="B175" s="18" t="inlineStr">
        <is>
          <t>Ceiling Lining | FC Sheet, 6mm, 1200 x 2400mm</t>
        </is>
      </c>
      <c r="C175" s="19" t="n">
        <v>18</v>
      </c>
      <c r="D175" s="17" t="inlineStr">
        <is>
          <t>sheets</t>
        </is>
      </c>
      <c r="E175" s="17" t="n"/>
      <c r="F175" s="17" t="n"/>
      <c r="G175" s="17" t="inlineStr">
        <is>
          <t>H</t>
        </is>
      </c>
      <c r="H175" s="18" t="inlineStr"/>
    </row>
    <row r="176">
      <c r="A176" s="17" t="inlineStr"/>
      <c r="B176" s="18" t="inlineStr">
        <is>
          <t>Verandah Soffit Lining — FC Sheet (6mm, 1200×2400)</t>
        </is>
      </c>
      <c r="C176" s="19" t="n">
        <v>8</v>
      </c>
      <c r="D176" s="17" t="inlineStr">
        <is>
          <t>sheets</t>
        </is>
      </c>
      <c r="E176" s="17" t="n"/>
      <c r="F176" s="17" t="n"/>
      <c r="G176" s="17" t="inlineStr">
        <is>
          <t>H</t>
        </is>
      </c>
      <c r="H176" s="18" t="inlineStr">
        <is>
          <t>Verandah soffit lining: 21.60 m² from DXF verandah polygon. Soffit area treated equal to verandah floor area. Verify fro</t>
        </is>
      </c>
    </row>
    <row r="177">
      <c r="A177" s="9" t="inlineStr"/>
      <c r="B177" s="10" t="inlineStr">
        <is>
          <t>FC Ceiling Sheet — Total Supply (ceiling + soffit)</t>
        </is>
      </c>
      <c r="C177" s="11" t="n">
        <v>26</v>
      </c>
      <c r="D177" s="9" t="inlineStr">
        <is>
          <t>sheets</t>
        </is>
      </c>
      <c r="E177" s="9" t="n"/>
      <c r="F177" s="9" t="n"/>
      <c r="G177" s="9" t="inlineStr">
        <is>
          <t>M</t>
        </is>
      </c>
      <c r="H177" s="10" t="inlineStr">
        <is>
          <t>Combined ceiling FC sheet procurement total (ceiling zone + verandah soffit). 26 sheets × 2.88m² (1200×2400mm) = 74.88m²</t>
        </is>
      </c>
    </row>
    <row r="178">
      <c r="A178" s="9" t="inlineStr"/>
      <c r="B178" s="10" t="inlineStr">
        <is>
          <t>Ceiling Batten | G22</t>
        </is>
      </c>
      <c r="C178" s="11" t="n">
        <v>122.5</v>
      </c>
      <c r="D178" s="9" t="inlineStr">
        <is>
          <t>lm</t>
        </is>
      </c>
      <c r="E178" s="9" t="n"/>
      <c r="F178" s="9" t="n"/>
      <c r="G178" s="9" t="inlineStr">
        <is>
          <t>M</t>
        </is>
      </c>
      <c r="H178" s="10" t="inlineStr"/>
    </row>
    <row r="179">
      <c r="A179" s="9" t="inlineStr"/>
      <c r="B179" s="10" t="inlineStr">
        <is>
          <t>Verandah Soffit Batten (LGS / timber)</t>
        </is>
      </c>
      <c r="C179" s="11" t="n">
        <v>54</v>
      </c>
      <c r="D179" s="9" t="inlineStr">
        <is>
          <t>lm</t>
        </is>
      </c>
      <c r="E179" s="9" t="n"/>
      <c r="F179" s="9" t="n"/>
      <c r="G179" s="9" t="inlineStr">
        <is>
          <t>M</t>
        </is>
      </c>
      <c r="H179" s="10" t="inlineStr">
        <is>
          <t>Verandah soffit batten: 21.60 m² at 400 mm spacing = 54.0 lm.</t>
        </is>
      </c>
    </row>
    <row r="180" ht="4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>
      <c r="A181" s="27" t="inlineStr"/>
      <c r="B181" s="28" t="inlineStr">
        <is>
          <t>Fixing | FC Sheet Screw (Ceiling)</t>
        </is>
      </c>
      <c r="C181" s="29" t="n">
        <v>5</v>
      </c>
      <c r="D181" s="27" t="inlineStr">
        <is>
          <t>boxes</t>
        </is>
      </c>
      <c r="E181" s="27" t="n"/>
      <c r="F181" s="27" t="n"/>
      <c r="G181" s="27" t="inlineStr">
        <is>
          <t>L</t>
        </is>
      </c>
      <c r="H181" s="28" t="inlineStr"/>
    </row>
    <row r="182">
      <c r="A182" s="27" t="inlineStr"/>
      <c r="B182" s="28" t="inlineStr">
        <is>
          <t>Ceiling Lining | FC Sheet Adhesive</t>
        </is>
      </c>
      <c r="C182" s="29" t="n">
        <v>17</v>
      </c>
      <c r="D182" s="27" t="inlineStr">
        <is>
          <t>tubes</t>
        </is>
      </c>
      <c r="E182" s="27" t="n"/>
      <c r="F182" s="27" t="n"/>
      <c r="G182" s="27" t="inlineStr">
        <is>
          <t>L</t>
        </is>
      </c>
      <c r="H182" s="28" t="inlineStr">
        <is>
          <t>Construction adhesive for ceiling FC sheet. 1 tube per ~3 m².</t>
        </is>
      </c>
    </row>
    <row r="183" ht="16" customHeight="1">
      <c r="A183" s="6" t="inlineStr">
        <is>
          <t xml:space="preserve">  Wall Finishes</t>
        </is>
      </c>
      <c r="B183" s="7" t="n"/>
      <c r="C183" s="7" t="n"/>
      <c r="D183" s="7" t="n"/>
      <c r="E183" s="7" t="n"/>
      <c r="F183" s="7" t="n"/>
      <c r="G183" s="7" t="n"/>
      <c r="H183" s="8" t="n"/>
    </row>
    <row r="184">
      <c r="A184" s="17" t="inlineStr"/>
      <c r="B184" s="18" t="inlineStr">
        <is>
          <t>Internal Lining | FC Sheet, 6mm, 1200 x 2700mm</t>
        </is>
      </c>
      <c r="C184" s="19" t="n">
        <v>41</v>
      </c>
      <c r="D184" s="17" t="inlineStr">
        <is>
          <t>sheets</t>
        </is>
      </c>
      <c r="E184" s="17" t="n"/>
      <c r="F184" s="17" t="n"/>
      <c r="G184" s="17" t="inlineStr">
        <is>
          <t>H</t>
        </is>
      </c>
      <c r="H184" s="18" t="inlineStr">
        <is>
          <t>Opening deductions (assumed-internal doors, both partition faces): 16.320 m² [DOOR_82×4×2f(0.820×2.04), DOOR_72×1×2f(0.7</t>
        </is>
      </c>
    </row>
    <row r="185">
      <c r="A185" s="17" t="inlineStr"/>
      <c r="B185" s="18" t="inlineStr">
        <is>
          <t>Internal Lining | FC Sheet, 6mm, 1200 x 2700mm</t>
        </is>
      </c>
      <c r="C185" s="19" t="n">
        <v>41</v>
      </c>
      <c r="D185" s="17" t="inlineStr">
        <is>
          <t>each</t>
        </is>
      </c>
      <c r="E185" s="17" t="n"/>
      <c r="F185" s="17" t="n"/>
      <c r="G185" s="17" t="inlineStr">
        <is>
          <t>H</t>
        </is>
      </c>
      <c r="H185" s="18" t="inlineStr">
        <is>
          <t xml:space="preserve">Gross internal wall FC sheet supply area (both partition faces). Net area: 124.80m² × 1.05 waste = 131.04m². Rounded to </t>
        </is>
      </c>
    </row>
    <row r="186">
      <c r="A186" s="9" t="inlineStr"/>
      <c r="B186" s="10" t="inlineStr">
        <is>
          <t>External Lining | FC Sheet, 6mm, 1200 x 2700mm</t>
        </is>
      </c>
      <c r="C186" s="11" t="n">
        <v>26</v>
      </c>
      <c r="D186" s="9" t="inlineStr">
        <is>
          <t>sheets</t>
        </is>
      </c>
      <c r="E186" s="9" t="n"/>
      <c r="F186" s="9" t="n"/>
      <c r="G186" s="9" t="inlineStr">
        <is>
          <t>M</t>
        </is>
      </c>
      <c r="H186" s="10" t="inlineStr">
        <is>
          <t>Opening deductions: doors=1.877 m² [DOOR_90×1(0.920×2.04)]; windows=12.775 m² [WINDOW_LOUVRE_1100×8(1.080×0.75), WINDOW_</t>
        </is>
      </c>
    </row>
    <row r="187">
      <c r="A187" s="9" t="inlineStr"/>
      <c r="B187" s="10" t="inlineStr">
        <is>
          <t>External Lining | FC Sheet, 6mm, 1200 x 2700mm</t>
        </is>
      </c>
      <c r="C187" s="11" t="n">
        <v>26</v>
      </c>
      <c r="D187" s="9" t="inlineStr">
        <is>
          <t>each</t>
        </is>
      </c>
      <c r="E187" s="9" t="n"/>
      <c r="F187" s="9" t="n"/>
      <c r="G187" s="9" t="inlineStr">
        <is>
          <t>M</t>
        </is>
      </c>
      <c r="H187" s="10" t="inlineStr">
        <is>
          <t>Gross external wall FC sheet supply area. Net wall area: 77.51m² × 1.05 waste = 81.39m². Rounded to 26 full sheets × 3.2</t>
        </is>
      </c>
    </row>
    <row r="188">
      <c r="A188" s="9" t="inlineStr"/>
      <c r="B188" s="10" t="inlineStr">
        <is>
          <t>FC Sheet — Total Supply (all lining zones combined)</t>
        </is>
      </c>
      <c r="C188" s="11" t="n">
        <v>93</v>
      </c>
      <c r="D188" s="9" t="inlineStr">
        <is>
          <t>sheets</t>
        </is>
      </c>
      <c r="E188" s="9" t="n"/>
      <c r="F188" s="9" t="n"/>
      <c r="G188" s="9" t="inlineStr">
        <is>
          <t>M</t>
        </is>
      </c>
      <c r="H188" s="10" t="inlineStr">
        <is>
          <t>Primary FC sheet procurement family total. Sum of: external wall, internal wall, wet area lining, ceiling, verandah soff</t>
        </is>
      </c>
    </row>
    <row r="189" ht="4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>
      <c r="A190" s="27" t="inlineStr"/>
      <c r="B190" s="28" t="inlineStr">
        <is>
          <t>Fixing | FC Sheet Screw (Internal)</t>
        </is>
      </c>
      <c r="C190" s="29" t="n">
        <v>16</v>
      </c>
      <c r="D190" s="27" t="inlineStr">
        <is>
          <t>boxes</t>
        </is>
      </c>
      <c r="E190" s="27" t="n"/>
      <c r="F190" s="27" t="n"/>
      <c r="G190" s="27" t="inlineStr">
        <is>
          <t>L</t>
        </is>
      </c>
      <c r="H190" s="28" t="inlineStr">
        <is>
          <t>Opening deductions (assumed-internal doors, both partition faces): 16.320 m² [DOOR_82×4×2f(0.820×2.04), DOOR_72×1×2f(0.7</t>
        </is>
      </c>
    </row>
    <row r="191">
      <c r="A191" s="27" t="inlineStr"/>
      <c r="B191" s="28" t="inlineStr">
        <is>
          <t>Internal Lining | FC Sheet Adhesive</t>
        </is>
      </c>
      <c r="C191" s="29" t="n">
        <v>50</v>
      </c>
      <c r="D191" s="27" t="inlineStr">
        <is>
          <t>tubes</t>
        </is>
      </c>
      <c r="E191" s="27" t="n"/>
      <c r="F191" s="27" t="n"/>
      <c r="G191" s="27" t="inlineStr">
        <is>
          <t>L</t>
        </is>
      </c>
      <c r="H191" s="28" t="inlineStr">
        <is>
          <t>Construction adhesive for FC sheet to stud/batten. 1 tube per ~2.5 m².</t>
        </is>
      </c>
    </row>
    <row r="192">
      <c r="A192" s="27" t="inlineStr"/>
      <c r="B192" s="28" t="inlineStr">
        <is>
          <t>Internal Lining Accessory | PVC H Joiner</t>
        </is>
      </c>
      <c r="C192" s="29" t="n">
        <v>117.6</v>
      </c>
      <c r="D192" s="27" t="inlineStr">
        <is>
          <t>lm</t>
        </is>
      </c>
      <c r="E192" s="27" t="n"/>
      <c r="F192" s="27" t="n"/>
      <c r="G192" s="27" t="inlineStr">
        <is>
          <t>L</t>
        </is>
      </c>
      <c r="H192" s="28" t="inlineStr">
        <is>
          <t>1 vertical joiner strip per 1.2 m sheet-width run × 2.4 m height.</t>
        </is>
      </c>
    </row>
    <row r="193">
      <c r="A193" s="27" t="inlineStr"/>
      <c r="B193" s="28" t="inlineStr">
        <is>
          <t>Fixing | FC Sheet Screw (External)</t>
        </is>
      </c>
      <c r="C193" s="29" t="n">
        <v>10</v>
      </c>
      <c r="D193" s="27" t="inlineStr">
        <is>
          <t>boxes</t>
        </is>
      </c>
      <c r="E193" s="27" t="n"/>
      <c r="F193" s="27" t="n"/>
      <c r="G193" s="27" t="inlineStr">
        <is>
          <t>L</t>
        </is>
      </c>
      <c r="H193" s="28" t="inlineStr"/>
    </row>
    <row r="194">
      <c r="A194" s="27" t="inlineStr"/>
      <c r="B194" s="28" t="inlineStr">
        <is>
          <t>External Lining | FC Sheet Adhesive</t>
        </is>
      </c>
      <c r="C194" s="29" t="n">
        <v>32</v>
      </c>
      <c r="D194" s="27" t="inlineStr">
        <is>
          <t>tubes</t>
        </is>
      </c>
      <c r="E194" s="27" t="n"/>
      <c r="F194" s="27" t="n"/>
      <c r="G194" s="27" t="inlineStr">
        <is>
          <t>L</t>
        </is>
      </c>
      <c r="H194" s="28" t="inlineStr">
        <is>
          <t>Construction adhesive (e.g. Bostik or equivalent). 1 tube per ~2.5 m² of FC sheet.</t>
        </is>
      </c>
    </row>
    <row r="195">
      <c r="A195" s="27" t="inlineStr"/>
      <c r="B195" s="28" t="inlineStr">
        <is>
          <t>External Lining | PVC H Joiner</t>
        </is>
      </c>
      <c r="C195" s="29" t="n">
        <v>76.8</v>
      </c>
      <c r="D195" s="27" t="inlineStr">
        <is>
          <t>lm</t>
        </is>
      </c>
      <c r="E195" s="27" t="n"/>
      <c r="F195" s="27" t="n"/>
      <c r="G195" s="27" t="inlineStr">
        <is>
          <t>M</t>
        </is>
      </c>
      <c r="H195" s="28" t="inlineStr">
        <is>
          <t>1 vertical joiner strip per 1.2m sheet-width run × 2.4m height on external wall face.</t>
        </is>
      </c>
    </row>
    <row r="196" ht="16" customHeight="1">
      <c r="A196" s="6" t="inlineStr">
        <is>
          <t xml:space="preserve">  Wet Area Linings</t>
        </is>
      </c>
      <c r="B196" s="7" t="n"/>
      <c r="C196" s="7" t="n"/>
      <c r="D196" s="7" t="n"/>
      <c r="E196" s="7" t="n"/>
      <c r="F196" s="7" t="n"/>
      <c r="G196" s="7" t="n"/>
      <c r="H196" s="8" t="n"/>
    </row>
    <row r="197" ht="14" customHeight="1">
      <c r="A197" s="12" t="inlineStr">
        <is>
          <t>▸ Items below require manual review / site confirmation</t>
        </is>
      </c>
      <c r="B197" s="13" t="n"/>
      <c r="C197" s="13" t="n"/>
      <c r="D197" s="13" t="n"/>
      <c r="E197" s="13" t="n"/>
      <c r="F197" s="13" t="n"/>
      <c r="G197" s="13" t="n"/>
      <c r="H197" s="13" t="n"/>
    </row>
    <row r="198">
      <c r="A198" s="14" t="inlineStr"/>
      <c r="B198" s="15" t="inlineStr">
        <is>
          <t>Internal Lining | Waterproof Board / FC, Wet Area</t>
        </is>
      </c>
      <c r="C198" s="16" t="n">
        <v>7</v>
      </c>
      <c r="D198" s="14" t="inlineStr">
        <is>
          <t>sheets</t>
        </is>
      </c>
      <c r="E198" s="14" t="n"/>
      <c r="F198" s="14" t="n"/>
      <c r="G198" s="14" t="inlineStr">
        <is>
          <t>L</t>
        </is>
      </c>
      <c r="H198" s="15" t="inlineStr">
        <is>
          <t>MANUAL REVIEW REQUIRED. Wet area lining: wall area = perimeter × wall height. perimeter from project_config (LOW — confi</t>
        </is>
      </c>
    </row>
    <row r="199">
      <c r="A199" s="14" t="inlineStr"/>
      <c r="B199" s="15" t="inlineStr">
        <is>
          <t>Internal Lining | Wet Area Board, Total Area (m²)</t>
        </is>
      </c>
      <c r="C199" s="16" t="n">
        <v>7</v>
      </c>
      <c r="D199" s="14" t="inlineStr">
        <is>
          <t>each</t>
        </is>
      </c>
      <c r="E199" s="14" t="n"/>
      <c r="F199" s="14" t="n"/>
      <c r="G199" s="14" t="inlineStr">
        <is>
          <t>L</t>
        </is>
      </c>
      <c r="H199" s="15" t="inlineStr">
        <is>
          <t>MANUAL REVIEW REQUIRED. Gross wet area FC/waterproof board supply area. Wall area: 19.68m² × 1.05 waste = 20.66m². Round</t>
        </is>
      </c>
    </row>
    <row r="200">
      <c r="A200" s="14" t="inlineStr"/>
      <c r="B200" s="15" t="inlineStr">
        <is>
          <t>Internal Lining | Wall Tiles, Wet Area</t>
        </is>
      </c>
      <c r="C200" s="16" t="n">
        <v>11.16</v>
      </c>
      <c r="D200" s="14" t="inlineStr">
        <is>
          <t>m2</t>
        </is>
      </c>
      <c r="E200" s="14" t="n"/>
      <c r="F200" s="14" t="n"/>
      <c r="G200" s="14" t="inlineStr">
        <is>
          <t>L</t>
        </is>
      </c>
      <c r="H200" s="15" t="inlineStr">
        <is>
          <t>MANUAL REVIEW REQUIRED. Heuristic estimate — room boundary not source-derived. Perimeter: 2×(√4.5+1)=6.2m (rect-est — no</t>
        </is>
      </c>
    </row>
    <row r="201">
      <c r="A201" s="14" t="inlineStr"/>
      <c r="B201" s="15" t="inlineStr">
        <is>
          <t>Wet Area Waterproof Membrane (floor + upstand)</t>
        </is>
      </c>
      <c r="C201" s="16" t="n">
        <v>6.14</v>
      </c>
      <c r="D201" s="14" t="inlineStr">
        <is>
          <t>m2</t>
        </is>
      </c>
      <c r="E201" s="14" t="n"/>
      <c r="F201" s="14" t="n"/>
      <c r="G201" s="14" t="inlineStr">
        <is>
          <t>L</t>
        </is>
      </c>
      <c r="H201" s="15" t="inlineStr">
        <is>
          <t>MANUAL REVIEW REQUIRED. Waterproof membrane: floor area + ~200mm wall upstand. Verify method (liquid-applied vs sheet) f</t>
        </is>
      </c>
    </row>
    <row r="202">
      <c r="A202" s="14" t="inlineStr"/>
      <c r="B202" s="15" t="inlineStr">
        <is>
          <t>Wet Area Tile Adhesive (20kg bag)</t>
        </is>
      </c>
      <c r="C202" s="16" t="n">
        <v>5</v>
      </c>
      <c r="D202" s="14" t="inlineStr">
        <is>
          <t>bags</t>
        </is>
      </c>
      <c r="E202" s="14" t="n"/>
      <c r="F202" s="14" t="n"/>
      <c r="G202" s="14" t="inlineStr">
        <is>
          <t>L</t>
        </is>
      </c>
      <c r="H202" s="15" t="inlineStr">
        <is>
          <t>MANUAL REVIEW REQUIRED. 20kg bag of tile adhesive ≈ 4 m² coverage. Verify spec with tiler.</t>
        </is>
      </c>
    </row>
    <row r="203">
      <c r="A203" s="14" t="inlineStr"/>
      <c r="B203" s="15" t="inlineStr">
        <is>
          <t>Wet Area Wall Tile Grout (3kg bag)</t>
        </is>
      </c>
      <c r="C203" s="16" t="n">
        <v>4</v>
      </c>
      <c r="D203" s="14" t="inlineStr">
        <is>
          <t>bags</t>
        </is>
      </c>
      <c r="E203" s="14" t="n"/>
      <c r="F203" s="14" t="n"/>
      <c r="G203" s="14" t="inlineStr">
        <is>
          <t>L</t>
        </is>
      </c>
      <c r="H203" s="15" t="inlineStr">
        <is>
          <t>MANUAL REVIEW REQUIRED. 3kg bag of grout ≈ 6 m² wall tile coverage. Adjust for tile size and joint width.</t>
        </is>
      </c>
    </row>
    <row r="204">
      <c r="A204" s="14" t="inlineStr"/>
      <c r="B204" s="15" t="inlineStr">
        <is>
          <t>Floor Tile Adhesive — Wet Area (20kg bag)</t>
        </is>
      </c>
      <c r="C204" s="16" t="n">
        <v>2</v>
      </c>
      <c r="D204" s="14" t="inlineStr">
        <is>
          <t>bags</t>
        </is>
      </c>
      <c r="E204" s="14" t="n"/>
      <c r="F204" s="14" t="n"/>
      <c r="G204" s="14" t="inlineStr">
        <is>
          <t>L</t>
        </is>
      </c>
      <c r="H204" s="15" t="inlineStr">
        <is>
          <t>MANUAL REVIEW REQUIRED. 20kg bag of tile adhesive ≈ 4 m² coverage on floor. Verify tile size and spec.  ALIGNMENT ADVISO</t>
        </is>
      </c>
    </row>
    <row r="205">
      <c r="A205" s="14" t="inlineStr"/>
      <c r="B205" s="15" t="inlineStr">
        <is>
          <t>Floor Tile Grout — Wet Area (3kg bag)</t>
        </is>
      </c>
      <c r="C205" s="16" t="n">
        <v>1</v>
      </c>
      <c r="D205" s="14" t="inlineStr">
        <is>
          <t>bags</t>
        </is>
      </c>
      <c r="E205" s="14" t="n"/>
      <c r="F205" s="14" t="n"/>
      <c r="G205" s="14" t="inlineStr">
        <is>
          <t>L</t>
        </is>
      </c>
      <c r="H205" s="15" t="inlineStr">
        <is>
          <t>MANUAL REVIEW REQUIRED. 3kg bag of grout ≈ 6 m² floor tile coverage. Adjust for joint width and tile size.  ALIGNMENT AD</t>
        </is>
      </c>
    </row>
    <row r="206" ht="16" customHeight="1">
      <c r="A206" s="6" t="inlineStr">
        <is>
          <t xml:space="preserve">  Floor Finishes</t>
        </is>
      </c>
      <c r="B206" s="7" t="n"/>
      <c r="C206" s="7" t="n"/>
      <c r="D206" s="7" t="n"/>
      <c r="E206" s="7" t="n"/>
      <c r="F206" s="7" t="n"/>
      <c r="G206" s="7" t="n"/>
      <c r="H206" s="8" t="n"/>
    </row>
    <row r="207" ht="14" customHeight="1">
      <c r="A207" s="12" t="inlineStr">
        <is>
          <t>▸ Items below require manual review / site confirmation</t>
        </is>
      </c>
      <c r="B207" s="13" t="n"/>
      <c r="C207" s="13" t="n"/>
      <c r="D207" s="13" t="n"/>
      <c r="E207" s="13" t="n"/>
      <c r="F207" s="13" t="n"/>
      <c r="G207" s="13" t="n"/>
      <c r="H207" s="13" t="n"/>
    </row>
    <row r="208">
      <c r="A208" s="14" t="inlineStr"/>
      <c r="B208" s="15" t="inlineStr">
        <is>
          <t>Floor Finish | Vinyl Plank (Dry Zone)</t>
        </is>
      </c>
      <c r="C208" s="16" t="n">
        <v>60.3</v>
      </c>
      <c r="D208" s="14" t="inlineStr">
        <is>
          <t>m2</t>
        </is>
      </c>
      <c r="E208" s="14" t="n"/>
      <c r="F208" s="14" t="n"/>
      <c r="G208" s="14" t="inlineStr">
        <is>
          <t>L</t>
        </is>
      </c>
      <c r="H208" s="15" t="inlineStr">
        <is>
          <t>MANUAL REVIEW REQUIRED. [Zone: internal_dry] Vinyl plank finish for 5 dry internal space(s). Verandah (21.6 m²) excluded</t>
        </is>
      </c>
    </row>
    <row r="209">
      <c r="A209" s="14" t="inlineStr"/>
      <c r="B209" s="15" t="inlineStr">
        <is>
          <t>Vinyl Plank — Supply Total (10% cut waste)</t>
        </is>
      </c>
      <c r="C209" s="16" t="n">
        <v>66.3</v>
      </c>
      <c r="D209" s="14" t="inlineStr">
        <is>
          <t>m2</t>
        </is>
      </c>
      <c r="E209" s="14" t="n"/>
      <c r="F209" s="14" t="n"/>
      <c r="G209" s="14" t="inlineStr">
        <is>
          <t>L</t>
        </is>
      </c>
      <c r="H209" s="15" t="inlineStr">
        <is>
          <t>MANUAL REVIEW REQUIRED. [Zone: internal_dry] Vinyl plank supply: 60.30m² net + 10% cut waste = 66.3m². 10% is standard f</t>
        </is>
      </c>
    </row>
    <row r="210">
      <c r="A210" s="14" t="inlineStr"/>
      <c r="B210" s="15" t="inlineStr">
        <is>
          <t>Floor Finish | Ceramic Tile (Wet Zone)</t>
        </is>
      </c>
      <c r="C210" s="16" t="n">
        <v>4.5</v>
      </c>
      <c r="D210" s="14" t="inlineStr">
        <is>
          <t>m2</t>
        </is>
      </c>
      <c r="E210" s="14" t="n"/>
      <c r="F210" s="14" t="n"/>
      <c r="G210" s="14" t="inlineStr">
        <is>
          <t>L</t>
        </is>
      </c>
      <c r="H210" s="15" t="inlineStr">
        <is>
          <t>MANUAL REVIEW REQUIRED. [Zone: internal_wet] Ceramic tile (non-slip) for wet space(s): Toilet (4.50 m²). CONFIG-BACKED F</t>
        </is>
      </c>
    </row>
    <row r="211">
      <c r="A211" s="14" t="inlineStr"/>
      <c r="B211" s="15" t="inlineStr">
        <is>
          <t>Ceramic Floor Tile — Supply Total (15% cut waste)</t>
        </is>
      </c>
      <c r="C211" s="16" t="n">
        <v>5.17</v>
      </c>
      <c r="D211" s="14" t="inlineStr">
        <is>
          <t>m2</t>
        </is>
      </c>
      <c r="E211" s="14" t="n"/>
      <c r="F211" s="14" t="n"/>
      <c r="G211" s="14" t="inlineStr">
        <is>
          <t>L</t>
        </is>
      </c>
      <c r="H211" s="15" t="inlineStr">
        <is>
          <t>MANUAL REVIEW REQUIRED. Ceramic floor tile supply order quantity = 4.50m² net area + 15% cut waste = 5.17m². 15% is stan</t>
        </is>
      </c>
    </row>
    <row r="212" ht="6" customHeight="1"/>
    <row r="213" ht="20" customHeight="1">
      <c r="A213" s="3" t="inlineStr">
        <is>
          <t>50116</t>
        </is>
      </c>
      <c r="B213" s="4" t="n"/>
      <c r="C213" s="4" t="n"/>
      <c r="D213" s="4" t="n"/>
      <c r="E213" s="4" t="n"/>
      <c r="F213" s="4" t="n"/>
      <c r="G213" s="4" t="n"/>
      <c r="H213" s="5" t="n"/>
    </row>
    <row r="214" ht="16" customHeight="1">
      <c r="A214" s="6" t="inlineStr">
        <is>
          <t xml:space="preserve">  Paint &amp; Coatings</t>
        </is>
      </c>
      <c r="B214" s="7" t="n"/>
      <c r="C214" s="7" t="n"/>
      <c r="D214" s="7" t="n"/>
      <c r="E214" s="7" t="n"/>
      <c r="F214" s="7" t="n"/>
      <c r="G214" s="7" t="n"/>
      <c r="H214" s="8" t="n"/>
    </row>
    <row r="215">
      <c r="A215" s="9" t="inlineStr"/>
      <c r="B215" s="10" t="inlineStr">
        <is>
          <t>Paint | External, two coats</t>
        </is>
      </c>
      <c r="C215" s="11" t="n">
        <v>92.16</v>
      </c>
      <c r="D215" s="9" t="inlineStr">
        <is>
          <t>m2</t>
        </is>
      </c>
      <c r="E215" s="9" t="n"/>
      <c r="F215" s="9" t="n"/>
      <c r="G215" s="9" t="inlineStr">
        <is>
          <t>M</t>
        </is>
      </c>
      <c r="H215" s="10" t="inlineStr">
        <is>
          <t>Gross area; no deduction for openings.</t>
        </is>
      </c>
    </row>
    <row r="216">
      <c r="A216" s="9" t="inlineStr"/>
      <c r="B216" s="10" t="inlineStr">
        <is>
          <t>Paint | Internal, two coats</t>
        </is>
      </c>
      <c r="C216" s="11" t="n">
        <v>190.12</v>
      </c>
      <c r="D216" s="9" t="inlineStr">
        <is>
          <t>m2</t>
        </is>
      </c>
      <c r="E216" s="9" t="n"/>
      <c r="F216" s="9" t="n"/>
      <c r="G216" s="9" t="inlineStr">
        <is>
          <t>M</t>
        </is>
      </c>
      <c r="H216" s="10" t="inlineStr">
        <is>
          <t xml:space="preserve">Both faces of internal partitions included. </t>
        </is>
      </c>
    </row>
    <row r="217" ht="14" customHeight="1">
      <c r="A217" s="12" t="inlineStr">
        <is>
          <t>▸ Items below require manual review / site confirmation</t>
        </is>
      </c>
      <c r="B217" s="13" t="n"/>
      <c r="C217" s="13" t="n"/>
      <c r="D217" s="13" t="n"/>
      <c r="E217" s="13" t="n"/>
      <c r="F217" s="13" t="n"/>
      <c r="G217" s="13" t="n"/>
      <c r="H217" s="13" t="n"/>
    </row>
    <row r="218">
      <c r="A218" s="14" t="inlineStr"/>
      <c r="B218" s="15" t="inlineStr">
        <is>
          <t>Paint | Wall / Ceiling</t>
        </is>
      </c>
      <c r="C218" s="16" t="n">
        <v>24</v>
      </c>
      <c r="D218" s="14" t="inlineStr">
        <is>
          <t>cans</t>
        </is>
      </c>
      <c r="E218" s="14" t="n"/>
      <c r="F218" s="14" t="n"/>
      <c r="G218" s="14" t="inlineStr">
        <is>
          <t>L</t>
        </is>
      </c>
      <c r="H218" s="15" t="inlineStr">
        <is>
          <t>MANUAL REVIEW REQUIRED. Primer/sealer for FC sheet surfaces before topcoat. 10L can ≈ 12 m² at 1 coat. Adjust for 2-coat</t>
        </is>
      </c>
    </row>
    <row r="219" ht="6" customHeight="1"/>
    <row r="220" ht="20" customHeight="1">
      <c r="A220" s="3" t="inlineStr">
        <is>
          <t>50117</t>
        </is>
      </c>
      <c r="B220" s="4" t="n"/>
      <c r="C220" s="4" t="n"/>
      <c r="D220" s="4" t="n"/>
      <c r="E220" s="4" t="n"/>
      <c r="F220" s="4" t="n"/>
      <c r="G220" s="4" t="n"/>
      <c r="H220" s="5" t="n"/>
    </row>
    <row r="221" ht="16" customHeight="1">
      <c r="A221" s="6" t="inlineStr">
        <is>
          <t xml:space="preserve">  Plumbing Fixtures</t>
        </is>
      </c>
      <c r="B221" s="7" t="n"/>
      <c r="C221" s="7" t="n"/>
      <c r="D221" s="7" t="n"/>
      <c r="E221" s="7" t="n"/>
      <c r="F221" s="7" t="n"/>
      <c r="G221" s="7" t="n"/>
      <c r="H221" s="8" t="n"/>
    </row>
    <row r="222" ht="14" customHeight="1">
      <c r="A222" s="12" t="inlineStr">
        <is>
          <t>▸ Items below require manual review / site confirmation</t>
        </is>
      </c>
      <c r="B222" s="13" t="n"/>
      <c r="C222" s="13" t="n"/>
      <c r="D222" s="13" t="n"/>
      <c r="E222" s="13" t="n"/>
      <c r="F222" s="13" t="n"/>
      <c r="G222" s="13" t="n"/>
      <c r="H222" s="13" t="n"/>
    </row>
    <row r="223">
      <c r="A223" s="14" t="inlineStr"/>
      <c r="B223" s="15" t="inlineStr">
        <is>
          <t>Hydraulics | Floor Waste</t>
        </is>
      </c>
      <c r="C223" s="16" t="n">
        <v>1</v>
      </c>
      <c r="D223" s="14" t="inlineStr">
        <is>
          <t>nr</t>
        </is>
      </c>
      <c r="E223" s="14" t="n"/>
      <c r="F223" s="14" t="n"/>
      <c r="G223" s="14" t="inlineStr">
        <is>
          <t>M</t>
        </is>
      </c>
      <c r="H223" s="15" t="inlineStr">
        <is>
          <t>MANUAL REVIEW REQUIRED. Inferred from room type 'toilet'.</t>
        </is>
      </c>
    </row>
    <row r="224" ht="16" customHeight="1">
      <c r="A224" s="6" t="inlineStr">
        <is>
          <t xml:space="preserve">  Wet Area Finishes</t>
        </is>
      </c>
      <c r="B224" s="7" t="n"/>
      <c r="C224" s="7" t="n"/>
      <c r="D224" s="7" t="n"/>
      <c r="E224" s="7" t="n"/>
      <c r="F224" s="7" t="n"/>
      <c r="G224" s="7" t="n"/>
      <c r="H224" s="8" t="n"/>
    </row>
    <row r="225" ht="14" customHeight="1">
      <c r="A225" s="12" t="inlineStr">
        <is>
          <t>▸ Items below require manual review / site confirmation</t>
        </is>
      </c>
      <c r="B225" s="13" t="n"/>
      <c r="C225" s="13" t="n"/>
      <c r="D225" s="13" t="n"/>
      <c r="E225" s="13" t="n"/>
      <c r="F225" s="13" t="n"/>
      <c r="G225" s="13" t="n"/>
      <c r="H225" s="13" t="n"/>
    </row>
    <row r="226">
      <c r="A226" s="14" t="inlineStr"/>
      <c r="B226" s="15" t="inlineStr">
        <is>
          <t>Hydraulics | Wet Area Waterproofing Membrane</t>
        </is>
      </c>
      <c r="C226" s="16" t="n">
        <v>5.43</v>
      </c>
      <c r="D226" s="14" t="inlineStr">
        <is>
          <t>m2</t>
        </is>
      </c>
      <c r="E226" s="14" t="n"/>
      <c r="F226" s="14" t="n"/>
      <c r="G226" s="14" t="inlineStr">
        <is>
          <t>L</t>
        </is>
      </c>
      <c r="H226" s="15" t="inlineStr">
        <is>
          <t xml:space="preserve">MANUAL REVIEW REQUIRED. Heuristic estimate: floor area (4.50 m²) + 150 mm upstand for Toilet. Perimeter 6.2 m estimated </t>
        </is>
      </c>
    </row>
    <row r="227" ht="16" customHeight="1">
      <c r="A227" s="6" t="inlineStr">
        <is>
          <t xml:space="preserve">  Water Services</t>
        </is>
      </c>
      <c r="B227" s="7" t="n"/>
      <c r="C227" s="7" t="n"/>
      <c r="D227" s="7" t="n"/>
      <c r="E227" s="7" t="n"/>
      <c r="F227" s="7" t="n"/>
      <c r="G227" s="7" t="n"/>
      <c r="H227" s="8" t="n"/>
    </row>
    <row r="228" ht="14" customHeight="1">
      <c r="A228" s="12" t="inlineStr">
        <is>
          <t>▸ Items below require manual review / site confirmation</t>
        </is>
      </c>
      <c r="B228" s="13" t="n"/>
      <c r="C228" s="13" t="n"/>
      <c r="D228" s="13" t="n"/>
      <c r="E228" s="13" t="n"/>
      <c r="F228" s="13" t="n"/>
      <c r="G228" s="13" t="n"/>
      <c r="H228" s="13" t="n"/>
    </row>
    <row r="229">
      <c r="A229" s="14" t="inlineStr"/>
      <c r="B229" s="15" t="inlineStr">
        <is>
          <t>Hydraulics | Hot Water System</t>
        </is>
      </c>
      <c r="C229" s="16" t="n">
        <v>1</v>
      </c>
      <c r="D229" s="14" t="inlineStr">
        <is>
          <t>item</t>
        </is>
      </c>
      <c r="E229" s="14" t="n"/>
      <c r="F229" s="14" t="n"/>
      <c r="G229" s="14" t="inlineStr">
        <is>
          <t>L</t>
        </is>
      </c>
      <c r="H229" s="15" t="inlineStr">
        <is>
          <t>MANUAL REVIEW REQUIRED. only if not allocated to individual rooms</t>
        </is>
      </c>
    </row>
    <row r="230">
      <c r="A230" s="14" t="inlineStr"/>
      <c r="B230" s="15" t="inlineStr">
        <is>
          <t>Hydraulics | Main Water Meter / Stopcock</t>
        </is>
      </c>
      <c r="C230" s="16" t="n">
        <v>1</v>
      </c>
      <c r="D230" s="14" t="inlineStr">
        <is>
          <t>item</t>
        </is>
      </c>
      <c r="E230" s="14" t="n"/>
      <c r="F230" s="14" t="n"/>
      <c r="G230" s="14" t="inlineStr">
        <is>
          <t>L</t>
        </is>
      </c>
      <c r="H230" s="15" t="inlineStr">
        <is>
          <t>MANUAL REVIEW REQUIRED. Whole-building service allowance.</t>
        </is>
      </c>
    </row>
    <row r="231" ht="16" customHeight="1">
      <c r="A231" s="6" t="inlineStr">
        <is>
          <t xml:space="preserve">  Builder's Works</t>
        </is>
      </c>
      <c r="B231" s="7" t="n"/>
      <c r="C231" s="7" t="n"/>
      <c r="D231" s="7" t="n"/>
      <c r="E231" s="7" t="n"/>
      <c r="F231" s="7" t="n"/>
      <c r="G231" s="7" t="n"/>
      <c r="H231" s="8" t="n"/>
    </row>
    <row r="232" ht="14" customHeight="1">
      <c r="A232" s="12" t="inlineStr">
        <is>
          <t>▸ Items below require manual review / site confirmation</t>
        </is>
      </c>
      <c r="B232" s="13" t="n"/>
      <c r="C232" s="13" t="n"/>
      <c r="D232" s="13" t="n"/>
      <c r="E232" s="13" t="n"/>
      <c r="F232" s="13" t="n"/>
      <c r="G232" s="13" t="n"/>
      <c r="H232" s="13" t="n"/>
    </row>
    <row r="233">
      <c r="A233" s="14" t="inlineStr"/>
      <c r="B233" s="15" t="inlineStr">
        <is>
          <t>Hydraulics | Builder's Works, Plumbing (Consulting)</t>
        </is>
      </c>
      <c r="C233" s="16" t="n">
        <v>1</v>
      </c>
      <c r="D233" s="14" t="inlineStr">
        <is>
          <t>item</t>
        </is>
      </c>
      <c r="E233" s="14" t="n"/>
      <c r="F233" s="14" t="n"/>
      <c r="G233" s="14" t="inlineStr">
        <is>
          <t>L</t>
        </is>
      </c>
      <c r="H233" s="15" t="inlineStr">
        <is>
          <t>MANUAL REVIEW REQUIRED. Inferred from room type 'consulting'.</t>
        </is>
      </c>
    </row>
    <row r="234">
      <c r="A234" s="14" t="inlineStr"/>
      <c r="B234" s="15" t="inlineStr">
        <is>
          <t>Hydraulics | Builder's Works, Plumbing (Toilet)</t>
        </is>
      </c>
      <c r="C234" s="16" t="n">
        <v>1</v>
      </c>
      <c r="D234" s="14" t="inlineStr">
        <is>
          <t>item</t>
        </is>
      </c>
      <c r="E234" s="14" t="n"/>
      <c r="F234" s="14" t="n"/>
      <c r="G234" s="14" t="inlineStr">
        <is>
          <t>M</t>
        </is>
      </c>
      <c r="H234" s="15" t="inlineStr">
        <is>
          <t>MANUAL REVIEW REQUIRED. Inferred from room type 'toilet'.</t>
        </is>
      </c>
    </row>
    <row r="235" ht="6" customHeight="1"/>
    <row r="236" ht="20" customHeight="1">
      <c r="A236" s="3" t="inlineStr">
        <is>
          <t>50118 - Insulation</t>
        </is>
      </c>
      <c r="B236" s="4" t="n"/>
      <c r="C236" s="4" t="n"/>
      <c r="D236" s="4" t="n"/>
      <c r="E236" s="4" t="n"/>
      <c r="F236" s="4" t="n"/>
      <c r="G236" s="4" t="n"/>
      <c r="H236" s="5" t="n"/>
    </row>
    <row r="237">
      <c r="A237" s="17" t="inlineStr"/>
      <c r="B237" s="18" t="inlineStr">
        <is>
          <t>Insulation | Glasswool Batts, Roof Cavity</t>
        </is>
      </c>
      <c r="C237" s="19" t="n">
        <v>106.6</v>
      </c>
      <c r="D237" s="17" t="inlineStr">
        <is>
          <t>m2</t>
        </is>
      </c>
      <c r="E237" s="17" t="n"/>
      <c r="F237" s="17" t="n"/>
      <c r="G237" s="17" t="inlineStr">
        <is>
          <t>H</t>
        </is>
      </c>
      <c r="H237" s="18" t="inlineStr">
        <is>
          <t>Roof cavity batt insulation above ceiling plane. R-value to be confirmed by ESD consultant.</t>
        </is>
      </c>
    </row>
    <row r="238">
      <c r="A238" s="17" t="inlineStr"/>
      <c r="B238" s="18" t="inlineStr">
        <is>
          <t>Insulation | Sisalation / Sarking</t>
        </is>
      </c>
      <c r="C238" s="19" t="n">
        <v>2</v>
      </c>
      <c r="D238" s="17" t="inlineStr">
        <is>
          <t>rolls</t>
        </is>
      </c>
      <c r="E238" s="17" t="n"/>
      <c r="F238" s="17" t="n"/>
      <c r="G238" s="17" t="inlineStr">
        <is>
          <t>H</t>
        </is>
      </c>
      <c r="H238" s="18" t="inlineStr"/>
    </row>
    <row r="239">
      <c r="A239" s="17" t="inlineStr"/>
      <c r="B239" s="18" t="inlineStr">
        <is>
          <t>Reflective Foil / Sisalation Underlay (roof)</t>
        </is>
      </c>
      <c r="C239" s="19" t="n">
        <v>111.93</v>
      </c>
      <c r="D239" s="17" t="inlineStr">
        <is>
          <t>m2</t>
        </is>
      </c>
      <c r="E239" s="17" t="n"/>
      <c r="F239" s="17" t="n"/>
      <c r="G239" s="17" t="inlineStr">
        <is>
          <t>H</t>
        </is>
      </c>
      <c r="H239" s="18" t="inlineStr">
        <is>
          <t>Reflective foil sarking / sisalation beneath roof sheeting. 5% for laps.</t>
        </is>
      </c>
    </row>
    <row r="240">
      <c r="A240" s="17" t="inlineStr"/>
      <c r="B240" s="18" t="inlineStr">
        <is>
          <t>Insulation | Glasswool Batts, Ceiling</t>
        </is>
      </c>
      <c r="C240" s="19" t="n">
        <v>49</v>
      </c>
      <c r="D240" s="17" t="inlineStr">
        <is>
          <t>m2</t>
        </is>
      </c>
      <c r="E240" s="17" t="n"/>
      <c r="F240" s="17" t="n"/>
      <c r="G240" s="17" t="inlineStr">
        <is>
          <t>H</t>
        </is>
      </c>
      <c r="H240" s="18" t="inlineStr">
        <is>
          <t>Ceiling-level batt insulation: 49.00 m² from DXF CEILING HATCH. R-value to be confirmed by ESD consultant. Note: 15.8 m²</t>
        </is>
      </c>
    </row>
    <row r="241">
      <c r="A241" s="9" t="inlineStr"/>
      <c r="B241" s="10" t="inlineStr">
        <is>
          <t>Insulation | Glasswool Batts, External Wall</t>
        </is>
      </c>
      <c r="C241" s="11" t="n">
        <v>92.16</v>
      </c>
      <c r="D241" s="9" t="inlineStr">
        <is>
          <t>m2</t>
        </is>
      </c>
      <c r="E241" s="9" t="n"/>
      <c r="F241" s="9" t="n"/>
      <c r="G241" s="9" t="inlineStr">
        <is>
          <t>M</t>
        </is>
      </c>
      <c r="H241" s="10" t="inlineStr">
        <is>
          <t>Gross wall area; deduct large openings if required. R-value to confirm with ESD.</t>
        </is>
      </c>
    </row>
    <row r="242">
      <c r="A242" s="9" t="inlineStr"/>
      <c r="B242" s="10" t="inlineStr">
        <is>
          <t>Insulation | Glasswool Batts, Total Supply</t>
        </is>
      </c>
      <c r="C242" s="11" t="n">
        <v>318.32</v>
      </c>
      <c r="D242" s="9" t="inlineStr">
        <is>
          <t>m2</t>
        </is>
      </c>
      <c r="E242" s="9" t="n"/>
      <c r="F242" s="9" t="n"/>
      <c r="G242" s="9" t="inlineStr">
        <is>
          <t>M</t>
        </is>
      </c>
      <c r="H242" s="10" t="inlineStr">
        <is>
          <t>Total insulation batt supply area across all zones. Includes roof cavity, ceiling, external wall, and internal wall batt</t>
        </is>
      </c>
    </row>
    <row r="243" ht="4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>
      <c r="A244" s="27" t="inlineStr"/>
      <c r="B244" s="28" t="inlineStr">
        <is>
          <t>Sisalation Lap Tape (50mm × 30m rolls)</t>
        </is>
      </c>
      <c r="C244" s="29" t="n">
        <v>3</v>
      </c>
      <c r="D244" s="27" t="inlineStr">
        <is>
          <t>rolls</t>
        </is>
      </c>
      <c r="E244" s="27" t="n"/>
      <c r="F244" s="27" t="n"/>
      <c r="G244" s="27" t="inlineStr">
        <is>
          <t>L</t>
        </is>
      </c>
      <c r="H244" s="28" t="inlineStr">
        <is>
          <t>Lap tape for sisalation overlaps. 1 roll per ~50 m².</t>
        </is>
      </c>
    </row>
    <row r="245" ht="14" customHeight="1">
      <c r="A245" s="12" t="inlineStr">
        <is>
          <t>▸ Items below require manual review / site confirmation</t>
        </is>
      </c>
      <c r="B245" s="13" t="n"/>
      <c r="C245" s="13" t="n"/>
      <c r="D245" s="13" t="n"/>
      <c r="E245" s="13" t="n"/>
      <c r="F245" s="13" t="n"/>
      <c r="G245" s="13" t="n"/>
      <c r="H245" s="13" t="n"/>
    </row>
    <row r="246">
      <c r="A246" s="14" t="inlineStr"/>
      <c r="B246" s="15" t="inlineStr">
        <is>
          <t>Insulation | Glasswool Batts, Internal Wall</t>
        </is>
      </c>
      <c r="C246" s="16" t="n">
        <v>70.56</v>
      </c>
      <c r="D246" s="14" t="inlineStr">
        <is>
          <t>m2</t>
        </is>
      </c>
      <c r="E246" s="14" t="n"/>
      <c r="F246" s="14" t="n"/>
      <c r="G246" s="14" t="inlineStr">
        <is>
          <t>H</t>
        </is>
      </c>
      <c r="H246" s="15" t="inlineStr">
        <is>
          <t>MANUAL REVIEW REQUIRED. Acoustic batt insulation in internal partition stud cavities. Area based on single face per wall</t>
        </is>
      </c>
    </row>
    <row r="247" ht="6" customHeight="1"/>
    <row r="248" ht="20" customHeight="1">
      <c r="A248" s="3" t="inlineStr">
        <is>
          <t>50119</t>
        </is>
      </c>
      <c r="B248" s="4" t="n"/>
      <c r="C248" s="4" t="n"/>
      <c r="D248" s="4" t="n"/>
      <c r="E248" s="4" t="n"/>
      <c r="F248" s="4" t="n"/>
      <c r="G248" s="4" t="n"/>
      <c r="H248" s="5" t="n"/>
    </row>
    <row r="249" ht="16" customHeight="1">
      <c r="A249" s="6" t="inlineStr">
        <is>
          <t xml:space="preserve">  Switchboard &amp; Protection</t>
        </is>
      </c>
      <c r="B249" s="7" t="n"/>
      <c r="C249" s="7" t="n"/>
      <c r="D249" s="7" t="n"/>
      <c r="E249" s="7" t="n"/>
      <c r="F249" s="7" t="n"/>
      <c r="G249" s="7" t="n"/>
      <c r="H249" s="8" t="n"/>
    </row>
    <row r="250" ht="14" customHeight="1">
      <c r="A250" s="12" t="inlineStr">
        <is>
          <t>▸ Items below require manual review / site confirmation</t>
        </is>
      </c>
      <c r="B250" s="13" t="n"/>
      <c r="C250" s="13" t="n"/>
      <c r="D250" s="13" t="n"/>
      <c r="E250" s="13" t="n"/>
      <c r="F250" s="13" t="n"/>
      <c r="G250" s="13" t="n"/>
      <c r="H250" s="13" t="n"/>
    </row>
    <row r="251">
      <c r="A251" s="14" t="inlineStr"/>
      <c r="B251" s="15" t="inlineStr">
        <is>
          <t>Electrical | Main Switchboard / Distribution Board</t>
        </is>
      </c>
      <c r="C251" s="16" t="n">
        <v>1</v>
      </c>
      <c r="D251" s="14" t="inlineStr">
        <is>
          <t>item</t>
        </is>
      </c>
      <c r="E251" s="14" t="n"/>
      <c r="F251" s="14" t="n"/>
      <c r="G251" s="14" t="inlineStr">
        <is>
          <t>L</t>
        </is>
      </c>
      <c r="H251" s="15" t="inlineStr">
        <is>
          <t>MANUAL REVIEW REQUIRED. 1 per building; adjust for sub-boards</t>
        </is>
      </c>
    </row>
    <row r="252" ht="16" customHeight="1">
      <c r="A252" s="6" t="inlineStr">
        <is>
          <t xml:space="preserve">  Ventilation</t>
        </is>
      </c>
      <c r="B252" s="7" t="n"/>
      <c r="C252" s="7" t="n"/>
      <c r="D252" s="7" t="n"/>
      <c r="E252" s="7" t="n"/>
      <c r="F252" s="7" t="n"/>
      <c r="G252" s="7" t="n"/>
      <c r="H252" s="8" t="n"/>
    </row>
    <row r="253" ht="14" customHeight="1">
      <c r="A253" s="12" t="inlineStr">
        <is>
          <t>▸ Items below require manual review / site confirmation</t>
        </is>
      </c>
      <c r="B253" s="13" t="n"/>
      <c r="C253" s="13" t="n"/>
      <c r="D253" s="13" t="n"/>
      <c r="E253" s="13" t="n"/>
      <c r="F253" s="13" t="n"/>
      <c r="G253" s="13" t="n"/>
      <c r="H253" s="13" t="n"/>
    </row>
    <row r="254">
      <c r="A254" s="23" t="inlineStr"/>
      <c r="B254" s="24" t="inlineStr">
        <is>
          <t>Electrical | Exhaust Fan</t>
        </is>
      </c>
      <c r="C254" s="25" t="n">
        <v>0</v>
      </c>
      <c r="D254" s="23" t="inlineStr">
        <is>
          <t>item</t>
        </is>
      </c>
      <c r="E254" s="23" t="n"/>
      <c r="F254" s="23" t="n"/>
      <c r="G254" s="23" t="inlineStr">
        <is>
          <t>L</t>
        </is>
      </c>
      <c r="H254" s="24" t="inlineStr">
        <is>
          <t>MANUAL REVIEW REQUIRED. PLACEHOLDER. BCA F4.6 requires mechanical exhaust in rooms without openable windows. Confirm exh</t>
        </is>
      </c>
    </row>
    <row r="255" ht="16" customHeight="1">
      <c r="A255" s="6" t="inlineStr">
        <is>
          <t xml:space="preserve">  Safety Devices</t>
        </is>
      </c>
      <c r="B255" s="7" t="n"/>
      <c r="C255" s="7" t="n"/>
      <c r="D255" s="7" t="n"/>
      <c r="E255" s="7" t="n"/>
      <c r="F255" s="7" t="n"/>
      <c r="G255" s="7" t="n"/>
      <c r="H255" s="8" t="n"/>
    </row>
    <row r="256" ht="14" customHeight="1">
      <c r="A256" s="12" t="inlineStr">
        <is>
          <t>▸ Items below require manual review / site confirmation</t>
        </is>
      </c>
      <c r="B256" s="13" t="n"/>
      <c r="C256" s="13" t="n"/>
      <c r="D256" s="13" t="n"/>
      <c r="E256" s="13" t="n"/>
      <c r="F256" s="13" t="n"/>
      <c r="G256" s="13" t="n"/>
      <c r="H256" s="13" t="n"/>
    </row>
    <row r="257">
      <c r="A257" s="14" t="inlineStr"/>
      <c r="B257" s="15" t="inlineStr">
        <is>
          <t>Electrical | Smoke Detector</t>
        </is>
      </c>
      <c r="C257" s="16" t="n">
        <v>2</v>
      </c>
      <c r="D257" s="14" t="inlineStr">
        <is>
          <t>nr</t>
        </is>
      </c>
      <c r="E257" s="14" t="n"/>
      <c r="F257" s="14" t="n"/>
      <c r="G257" s="14" t="inlineStr">
        <is>
          <t>L</t>
        </is>
      </c>
      <c r="H257" s="15" t="inlineStr">
        <is>
          <t>MANUAL REVIEW REQUIRED. 1 per 40 m² floor area (indicative)</t>
        </is>
      </c>
    </row>
    <row r="258" ht="16" customHeight="1">
      <c r="A258" s="6" t="inlineStr">
        <is>
          <t xml:space="preserve">  Mechanical</t>
        </is>
      </c>
      <c r="B258" s="7" t="n"/>
      <c r="C258" s="7" t="n"/>
      <c r="D258" s="7" t="n"/>
      <c r="E258" s="7" t="n"/>
      <c r="F258" s="7" t="n"/>
      <c r="G258" s="7" t="n"/>
      <c r="H258" s="8" t="n"/>
    </row>
    <row r="259" ht="14" customHeight="1">
      <c r="A259" s="12" t="inlineStr">
        <is>
          <t>▸ Items below require manual review / site confirmation</t>
        </is>
      </c>
      <c r="B259" s="13" t="n"/>
      <c r="C259" s="13" t="n"/>
      <c r="D259" s="13" t="n"/>
      <c r="E259" s="13" t="n"/>
      <c r="F259" s="13" t="n"/>
      <c r="G259" s="13" t="n"/>
      <c r="H259" s="13" t="n"/>
    </row>
    <row r="260">
      <c r="A260" s="23" t="inlineStr"/>
      <c r="B260" s="24" t="inlineStr">
        <is>
          <t>Services | Air Conditioning / Mechanical (PLACEHOLDER)</t>
        </is>
      </c>
      <c r="C260" s="25" t="n">
        <v>0</v>
      </c>
      <c r="D260" s="23" t="inlineStr">
        <is>
          <t>item</t>
        </is>
      </c>
      <c r="E260" s="23" t="n"/>
      <c r="F260" s="23" t="n"/>
      <c r="G260" s="23" t="inlineStr">
        <is>
          <t>L</t>
        </is>
      </c>
      <c r="H260" s="24" t="inlineStr">
        <is>
          <t>MANUAL REVIEW REQUIRED. PLACEHOLDER. Commercial building in tropical climate likely requires split-system or cassette AC</t>
        </is>
      </c>
    </row>
    <row r="261" ht="16" customHeight="1">
      <c r="A261" s="6" t="inlineStr">
        <is>
          <t xml:space="preserve">  Builder's Works</t>
        </is>
      </c>
      <c r="B261" s="7" t="n"/>
      <c r="C261" s="7" t="n"/>
      <c r="D261" s="7" t="n"/>
      <c r="E261" s="7" t="n"/>
      <c r="F261" s="7" t="n"/>
      <c r="G261" s="7" t="n"/>
      <c r="H261" s="8" t="n"/>
    </row>
    <row r="262" ht="14" customHeight="1">
      <c r="A262" s="12" t="inlineStr">
        <is>
          <t>▸ Items below require manual review / site confirmation</t>
        </is>
      </c>
      <c r="B262" s="13" t="n"/>
      <c r="C262" s="13" t="n"/>
      <c r="D262" s="13" t="n"/>
      <c r="E262" s="13" t="n"/>
      <c r="F262" s="13" t="n"/>
      <c r="G262" s="13" t="n"/>
      <c r="H262" s="13" t="n"/>
    </row>
    <row r="263">
      <c r="A263" s="14" t="inlineStr"/>
      <c r="B263" s="15" t="inlineStr">
        <is>
          <t>Services | Builder's Works, Electrical (Pharmacy)</t>
        </is>
      </c>
      <c r="C263" s="16" t="n">
        <v>1</v>
      </c>
      <c r="D263" s="14" t="inlineStr">
        <is>
          <t>item</t>
        </is>
      </c>
      <c r="E263" s="14" t="n"/>
      <c r="F263" s="14" t="n"/>
      <c r="G263" s="14" t="inlineStr">
        <is>
          <t>L</t>
        </is>
      </c>
      <c r="H263" s="15" t="inlineStr">
        <is>
          <t>MANUAL REVIEW REQUIRED. Inferred from room type 'pharmacy'.</t>
        </is>
      </c>
    </row>
    <row r="264">
      <c r="A264" s="14" t="inlineStr"/>
      <c r="B264" s="15" t="inlineStr">
        <is>
          <t>Services | Builder's Works, Electrical (Office)</t>
        </is>
      </c>
      <c r="C264" s="16" t="n">
        <v>1</v>
      </c>
      <c r="D264" s="14" t="inlineStr">
        <is>
          <t>item</t>
        </is>
      </c>
      <c r="E264" s="14" t="n"/>
      <c r="F264" s="14" t="n"/>
      <c r="G264" s="14" t="inlineStr">
        <is>
          <t>L</t>
        </is>
      </c>
      <c r="H264" s="15" t="inlineStr">
        <is>
          <t>MANUAL REVIEW REQUIRED. Inferred from room type 'office'.</t>
        </is>
      </c>
    </row>
    <row r="265" ht="6" customHeight="1"/>
    <row r="266" ht="20" customHeight="1">
      <c r="A266" s="3" t="inlineStr">
        <is>
          <t>50124</t>
        </is>
      </c>
      <c r="B266" s="4" t="n"/>
      <c r="C266" s="4" t="n"/>
      <c r="D266" s="4" t="n"/>
      <c r="E266" s="4" t="n"/>
      <c r="F266" s="4" t="n"/>
      <c r="G266" s="4" t="n"/>
      <c r="H266" s="5" t="n"/>
    </row>
    <row r="267" ht="16" customHeight="1">
      <c r="A267" s="6" t="inlineStr">
        <is>
          <t xml:space="preserve">  Stairs</t>
        </is>
      </c>
      <c r="B267" s="7" t="n"/>
      <c r="C267" s="7" t="n"/>
      <c r="D267" s="7" t="n"/>
      <c r="E267" s="7" t="n"/>
      <c r="F267" s="7" t="n"/>
      <c r="G267" s="7" t="n"/>
      <c r="H267" s="8" t="n"/>
    </row>
    <row r="268">
      <c r="A268" s="9" t="inlineStr"/>
      <c r="B268" s="10" t="inlineStr">
        <is>
          <t>Stair | Component</t>
        </is>
      </c>
      <c r="C268" s="11" t="n">
        <v>2</v>
      </c>
      <c r="D268" s="9" t="inlineStr">
        <is>
          <t>nr</t>
        </is>
      </c>
      <c r="E268" s="9" t="n"/>
      <c r="F268" s="9" t="n"/>
      <c r="G268" s="9" t="inlineStr">
        <is>
          <t>M</t>
        </is>
      </c>
      <c r="H268" s="10" t="inlineStr">
        <is>
          <t>1 newel post at top and bottom of each flight.</t>
        </is>
      </c>
    </row>
    <row r="269" ht="14" customHeight="1">
      <c r="A269" s="12" t="inlineStr">
        <is>
          <t>▸ Items below require manual review / site confirmation</t>
        </is>
      </c>
      <c r="B269" s="13" t="n"/>
      <c r="C269" s="13" t="n"/>
      <c r="D269" s="13" t="n"/>
      <c r="E269" s="13" t="n"/>
      <c r="F269" s="13" t="n"/>
      <c r="G269" s="13" t="n"/>
      <c r="H269" s="13" t="n"/>
    </row>
    <row r="270">
      <c r="A270" s="14" t="inlineStr"/>
      <c r="B270" s="15" t="inlineStr">
        <is>
          <t>Stair | Stringer</t>
        </is>
      </c>
      <c r="C270" s="16" t="n">
        <v>1</v>
      </c>
      <c r="D270" s="14" t="inlineStr">
        <is>
          <t>nr</t>
        </is>
      </c>
      <c r="E270" s="14" t="n"/>
      <c r="F270" s="14" t="n"/>
      <c r="G270" s="14" t="inlineStr">
        <is>
          <t>L</t>
        </is>
      </c>
      <c r="H270" s="15" t="inlineStr">
        <is>
          <t>MANUAL REVIEW REQUIRED. Entry stair — riser count estimated from raised floor height (~525mm). Verify from architectural</t>
        </is>
      </c>
    </row>
    <row r="271">
      <c r="A271" s="14" t="inlineStr"/>
      <c r="B271" s="15" t="inlineStr">
        <is>
          <t>Stair | Tread</t>
        </is>
      </c>
      <c r="C271" s="16" t="n">
        <v>3</v>
      </c>
      <c r="D271" s="14" t="inlineStr">
        <is>
          <t>nr</t>
        </is>
      </c>
      <c r="E271" s="14" t="n"/>
      <c r="F271" s="14" t="n"/>
      <c r="G271" s="14" t="inlineStr">
        <is>
          <t>L</t>
        </is>
      </c>
      <c r="H271" s="15" t="inlineStr">
        <is>
          <t>MANUAL REVIEW REQUIRED.</t>
        </is>
      </c>
    </row>
    <row r="272">
      <c r="A272" s="14" t="inlineStr"/>
      <c r="B272" s="15" t="inlineStr">
        <is>
          <t>Stair | Balustrade Top Rail</t>
        </is>
      </c>
      <c r="C272" s="16" t="n">
        <v>0.75</v>
      </c>
      <c r="D272" s="14" t="inlineStr">
        <is>
          <t>lm</t>
        </is>
      </c>
      <c r="E272" s="14" t="n"/>
      <c r="F272" s="14" t="n"/>
      <c r="G272" s="14" t="inlineStr">
        <is>
          <t>L</t>
        </is>
      </c>
      <c r="H272" s="15" t="inlineStr">
        <is>
          <t>MANUAL REVIEW REQUIRED. Verify length from architectural drawings.</t>
        </is>
      </c>
    </row>
    <row r="273">
      <c r="A273" s="14" t="inlineStr"/>
      <c r="B273" s="15" t="inlineStr">
        <is>
          <t>Stair | Balustrade Post</t>
        </is>
      </c>
      <c r="C273" s="16" t="n">
        <v>1</v>
      </c>
      <c r="D273" s="14" t="inlineStr">
        <is>
          <t>nr</t>
        </is>
      </c>
      <c r="E273" s="14" t="n"/>
      <c r="F273" s="14" t="n"/>
      <c r="G273" s="14" t="inlineStr">
        <is>
          <t>L</t>
        </is>
      </c>
      <c r="H273" s="15" t="inlineStr">
        <is>
          <t>MANUAL REVIEW REQUIRED. 1 post per 1.2 m spacing. Verify from balustrade schedule.</t>
        </is>
      </c>
    </row>
    <row r="274">
      <c r="A274" s="14" t="inlineStr"/>
      <c r="B274" s="15" t="inlineStr">
        <is>
          <t>Stair | Balustrade Infill</t>
        </is>
      </c>
      <c r="C274" s="16" t="n">
        <v>0.75</v>
      </c>
      <c r="D274" s="14" t="inlineStr">
        <is>
          <t>m2</t>
        </is>
      </c>
      <c r="E274" s="14" t="n"/>
      <c r="F274" s="14" t="n"/>
      <c r="G274" s="14" t="inlineStr">
        <is>
          <t>L</t>
        </is>
      </c>
      <c r="H274" s="15" t="inlineStr">
        <is>
          <t>MANUAL REVIEW REQUIRED. Infill height assumed 1.0 m. Adjust for guard height requirement (≥1.0 m at &gt;1.0 m fall).</t>
        </is>
      </c>
    </row>
    <row r="275">
      <c r="A275" s="14" t="inlineStr"/>
      <c r="B275" s="15" t="inlineStr">
        <is>
          <t>Stair | Handrail</t>
        </is>
      </c>
      <c r="C275" s="16" t="n">
        <v>0.75</v>
      </c>
      <c r="D275" s="14" t="inlineStr">
        <is>
          <t>lm</t>
        </is>
      </c>
      <c r="E275" s="14" t="n"/>
      <c r="F275" s="14" t="n"/>
      <c r="G275" s="14" t="inlineStr">
        <is>
          <t>L</t>
        </is>
      </c>
      <c r="H275" s="15" t="inlineStr">
        <is>
          <t>MANUAL REVIEW REQUIRED. Verify handrail length. Continuous rail both sides of flight where required by code.</t>
        </is>
      </c>
    </row>
    <row r="276" ht="16" customHeight="1">
      <c r="A276" s="6" t="inlineStr">
        <is>
          <t xml:space="preserve">  Steel Ramp</t>
        </is>
      </c>
      <c r="B276" s="7" t="n"/>
      <c r="C276" s="7" t="n"/>
      <c r="D276" s="7" t="n"/>
      <c r="E276" s="7" t="n"/>
      <c r="F276" s="7" t="n"/>
      <c r="G276" s="7" t="n"/>
      <c r="H276" s="8" t="n"/>
    </row>
    <row r="277" ht="14" customHeight="1">
      <c r="A277" s="12" t="inlineStr">
        <is>
          <t>▸ Items below require manual review / site confirmation</t>
        </is>
      </c>
      <c r="B277" s="13" t="n"/>
      <c r="C277" s="13" t="n"/>
      <c r="D277" s="13" t="n"/>
      <c r="E277" s="13" t="n"/>
      <c r="F277" s="13" t="n"/>
      <c r="G277" s="13" t="n"/>
      <c r="H277" s="13" t="n"/>
    </row>
    <row r="278">
      <c r="A278" s="14" t="inlineStr"/>
      <c r="B278" s="15" t="inlineStr">
        <is>
          <t>Access Ramp | Surface, Concrete / Non-slip</t>
        </is>
      </c>
      <c r="C278" s="16" t="n">
        <v>8.82</v>
      </c>
      <c r="D278" s="14" t="inlineStr">
        <is>
          <t>m2</t>
        </is>
      </c>
      <c r="E278" s="14" t="n"/>
      <c r="F278" s="14" t="n"/>
      <c r="G278" s="14" t="inlineStr">
        <is>
          <t>L</t>
        </is>
      </c>
      <c r="H278" s="15" t="inlineStr">
        <is>
          <t>MANUAL REVIEW REQUIRED. Access ramp: 1:14 gradient, stair: 3 risers × 175 mm = 525 mm → 7.35 m run × 1.2 m wide = 8.82 m</t>
        </is>
      </c>
    </row>
    <row r="279">
      <c r="A279" s="14" t="inlineStr"/>
      <c r="B279" s="15" t="inlineStr">
        <is>
          <t>Access Ramp | (type by design)</t>
        </is>
      </c>
      <c r="C279" s="16" t="n">
        <v>14.7</v>
      </c>
      <c r="D279" s="14" t="inlineStr">
        <is>
          <t>lm</t>
        </is>
      </c>
      <c r="E279" s="14" t="n"/>
      <c r="F279" s="14" t="n"/>
      <c r="G279" s="14" t="inlineStr">
        <is>
          <t>L</t>
        </is>
      </c>
      <c r="H279" s="15" t="inlineStr">
        <is>
          <t>MANUAL REVIEW REQUIRED. Continuous handrails both sides of ramp. Verify height and spec from architectural drawings.</t>
        </is>
      </c>
    </row>
    <row r="280">
      <c r="A280" s="14" t="inlineStr"/>
      <c r="B280" s="15" t="inlineStr">
        <is>
          <t>Access Ramp | Edge Kerb / Guard</t>
        </is>
      </c>
      <c r="C280" s="16" t="n">
        <v>14.7</v>
      </c>
      <c r="D280" s="14" t="inlineStr">
        <is>
          <t>lm</t>
        </is>
      </c>
      <c r="E280" s="14" t="n"/>
      <c r="F280" s="14" t="n"/>
      <c r="G280" s="14" t="inlineStr">
        <is>
          <t>L</t>
        </is>
      </c>
      <c r="H280" s="15" t="inlineStr">
        <is>
          <t>MANUAL REVIEW REQUIRED. Kerb guard (min 75 mm high) both sides. Verify from architectural drawings.</t>
        </is>
      </c>
    </row>
    <row r="281" ht="16" customHeight="1">
      <c r="A281" s="6" t="inlineStr">
        <is>
          <t xml:space="preserve">  Balustrades</t>
        </is>
      </c>
      <c r="B281" s="7" t="n"/>
      <c r="C281" s="7" t="n"/>
      <c r="D281" s="7" t="n"/>
      <c r="E281" s="7" t="n"/>
      <c r="F281" s="7" t="n"/>
      <c r="G281" s="7" t="n"/>
      <c r="H281" s="8" t="n"/>
    </row>
    <row r="282">
      <c r="A282" s="20" t="inlineStr"/>
      <c r="B282" s="21" t="inlineStr">
        <is>
          <t>Balustrade | Post</t>
        </is>
      </c>
      <c r="C282" s="22" t="n">
        <v>17</v>
      </c>
      <c r="D282" s="20" t="inlineStr">
        <is>
          <t>nr</t>
        </is>
      </c>
      <c r="E282" s="20" t="n"/>
      <c r="F282" s="20" t="n"/>
      <c r="G282" s="20" t="inlineStr">
        <is>
          <t>L</t>
        </is>
      </c>
      <c r="H282" s="21" t="inlineStr"/>
    </row>
    <row r="283" ht="16" customHeight="1">
      <c r="A283" s="6" t="inlineStr">
        <is>
          <t xml:space="preserve">  Verandah Balustrade</t>
        </is>
      </c>
      <c r="B283" s="7" t="n"/>
      <c r="C283" s="7" t="n"/>
      <c r="D283" s="7" t="n"/>
      <c r="E283" s="7" t="n"/>
      <c r="F283" s="7" t="n"/>
      <c r="G283" s="7" t="n"/>
      <c r="H283" s="8" t="n"/>
    </row>
    <row r="284">
      <c r="A284" s="17" t="inlineStr"/>
      <c r="B284" s="18" t="inlineStr">
        <is>
          <t>External Works | Verandah Balustrade</t>
        </is>
      </c>
      <c r="C284" s="19" t="n">
        <v>20.4</v>
      </c>
      <c r="D284" s="17" t="inlineStr">
        <is>
          <t>lm</t>
        </is>
      </c>
      <c r="E284" s="17" t="n"/>
      <c r="F284" s="17" t="n"/>
      <c r="G284" s="17" t="inlineStr">
        <is>
          <t>H</t>
        </is>
      </c>
      <c r="H284" s="18" t="inlineStr"/>
    </row>
    <row r="285">
      <c r="A285" s="9" t="inlineStr"/>
      <c r="B285" s="10" t="inlineStr">
        <is>
          <t>External Works | Verandah Handrail</t>
        </is>
      </c>
      <c r="C285" s="11" t="n">
        <v>20.4</v>
      </c>
      <c r="D285" s="9" t="inlineStr">
        <is>
          <t>lm</t>
        </is>
      </c>
      <c r="E285" s="9" t="n"/>
      <c r="F285" s="9" t="n"/>
      <c r="G285" s="9" t="inlineStr">
        <is>
          <t>M</t>
        </is>
      </c>
      <c r="H285" s="10" t="inlineStr">
        <is>
          <t>Reduce if one side abuts building wall.</t>
        </is>
      </c>
    </row>
    <row r="286" ht="6" customHeight="1"/>
    <row r="287" ht="20" customHeight="1">
      <c r="A287" s="3" t="inlineStr">
        <is>
          <t>50129</t>
        </is>
      </c>
      <c r="B287" s="4" t="n"/>
      <c r="C287" s="4" t="n"/>
      <c r="D287" s="4" t="n"/>
      <c r="E287" s="4" t="n"/>
      <c r="F287" s="4" t="n"/>
      <c r="G287" s="4" t="n"/>
      <c r="H287" s="5" t="n"/>
    </row>
    <row r="288" ht="16" customHeight="1">
      <c r="A288" s="6" t="inlineStr">
        <is>
          <t xml:space="preserve">  Dispensary / Prep Area</t>
        </is>
      </c>
      <c r="B288" s="7" t="n"/>
      <c r="C288" s="7" t="n"/>
      <c r="D288" s="7" t="n"/>
      <c r="E288" s="7" t="n"/>
      <c r="F288" s="7" t="n"/>
      <c r="G288" s="7" t="n"/>
      <c r="H288" s="8" t="n"/>
    </row>
    <row r="289" ht="14" customHeight="1">
      <c r="A289" s="12" t="inlineStr">
        <is>
          <t>▸ Items below require manual review / site confirmation</t>
        </is>
      </c>
      <c r="B289" s="13" t="n"/>
      <c r="C289" s="13" t="n"/>
      <c r="D289" s="13" t="n"/>
      <c r="E289" s="13" t="n"/>
      <c r="F289" s="13" t="n"/>
      <c r="G289" s="13" t="n"/>
      <c r="H289" s="13" t="n"/>
    </row>
    <row r="290">
      <c r="A290" s="14" t="inlineStr"/>
      <c r="B290" s="15" t="inlineStr">
        <is>
          <t>Hand Basin — Supply &amp; Fix</t>
        </is>
      </c>
      <c r="C290" s="16" t="n">
        <v>1</v>
      </c>
      <c r="D290" s="14" t="inlineStr">
        <is>
          <t>nr</t>
        </is>
      </c>
      <c r="E290" s="14" t="n"/>
      <c r="F290" s="14" t="n"/>
      <c r="G290" s="14" t="inlineStr">
        <is>
          <t>L</t>
        </is>
      </c>
      <c r="H290" s="15" t="inlineStr">
        <is>
          <t>MANUAL REVIEW REQUIRED. Inferred from room type 'pharmacy'.</t>
        </is>
      </c>
    </row>
    <row r="291">
      <c r="A291" s="14" t="inlineStr"/>
      <c r="B291" s="15" t="inlineStr">
        <is>
          <t>Tapware — Supply &amp; Fix</t>
        </is>
      </c>
      <c r="C291" s="16" t="n">
        <v>1</v>
      </c>
      <c r="D291" s="14" t="inlineStr">
        <is>
          <t>set</t>
        </is>
      </c>
      <c r="E291" s="14" t="n"/>
      <c r="F291" s="14" t="n"/>
      <c r="G291" s="14" t="inlineStr">
        <is>
          <t>L</t>
        </is>
      </c>
      <c r="H291" s="15" t="inlineStr">
        <is>
          <t>MANUAL REVIEW REQUIRED. Inferred from room type 'pharmacy'.</t>
        </is>
      </c>
    </row>
    <row r="292">
      <c r="A292" s="14" t="inlineStr"/>
      <c r="B292" s="15" t="inlineStr">
        <is>
          <t>Services | Cold Room / Refrigeration (PLACEHOLDER)</t>
        </is>
      </c>
      <c r="C292" s="16" t="n">
        <v>1</v>
      </c>
      <c r="D292" s="14" t="inlineStr">
        <is>
          <t>item</t>
        </is>
      </c>
      <c r="E292" s="14" t="n"/>
      <c r="F292" s="14" t="n"/>
      <c r="G292" s="14" t="inlineStr">
        <is>
          <t>L</t>
        </is>
      </c>
      <c r="H292" s="15" t="inlineStr">
        <is>
          <t>MANUAL REVIEW REQUIRED. Inferred from room type 'pharmacy'.</t>
        </is>
      </c>
    </row>
    <row r="293" ht="16" customHeight="1">
      <c r="A293" s="6" t="inlineStr">
        <is>
          <t xml:space="preserve">  Consulting Room</t>
        </is>
      </c>
      <c r="B293" s="7" t="n"/>
      <c r="C293" s="7" t="n"/>
      <c r="D293" s="7" t="n"/>
      <c r="E293" s="7" t="n"/>
      <c r="F293" s="7" t="n"/>
      <c r="G293" s="7" t="n"/>
      <c r="H293" s="8" t="n"/>
    </row>
    <row r="294" ht="14" customHeight="1">
      <c r="A294" s="12" t="inlineStr">
        <is>
          <t>▸ Items below require manual review / site confirmation</t>
        </is>
      </c>
      <c r="B294" s="13" t="n"/>
      <c r="C294" s="13" t="n"/>
      <c r="D294" s="13" t="n"/>
      <c r="E294" s="13" t="n"/>
      <c r="F294" s="13" t="n"/>
      <c r="G294" s="13" t="n"/>
      <c r="H294" s="13" t="n"/>
    </row>
    <row r="295">
      <c r="A295" s="14" t="inlineStr"/>
      <c r="B295" s="15" t="inlineStr">
        <is>
          <t>Hand Basin — Supply &amp; Fix</t>
        </is>
      </c>
      <c r="C295" s="16" t="n">
        <v>1</v>
      </c>
      <c r="D295" s="14" t="inlineStr">
        <is>
          <t>nr</t>
        </is>
      </c>
      <c r="E295" s="14" t="n"/>
      <c r="F295" s="14" t="n"/>
      <c r="G295" s="14" t="inlineStr">
        <is>
          <t>L</t>
        </is>
      </c>
      <c r="H295" s="15" t="inlineStr">
        <is>
          <t>MANUAL REVIEW REQUIRED. Inferred from room type 'consulting'.</t>
        </is>
      </c>
    </row>
    <row r="296">
      <c r="A296" s="14" t="inlineStr"/>
      <c r="B296" s="15" t="inlineStr">
        <is>
          <t>Tapware — Supply &amp; Fix</t>
        </is>
      </c>
      <c r="C296" s="16" t="n">
        <v>1</v>
      </c>
      <c r="D296" s="14" t="inlineStr">
        <is>
          <t>set</t>
        </is>
      </c>
      <c r="E296" s="14" t="n"/>
      <c r="F296" s="14" t="n"/>
      <c r="G296" s="14" t="inlineStr">
        <is>
          <t>L</t>
        </is>
      </c>
      <c r="H296" s="15" t="inlineStr">
        <is>
          <t>MANUAL REVIEW REQUIRED. Inferred from room type 'consulting'.</t>
        </is>
      </c>
    </row>
    <row r="297" ht="16" customHeight="1">
      <c r="A297" s="6" t="inlineStr">
        <is>
          <t xml:space="preserve">  Toilets / Amenities</t>
        </is>
      </c>
      <c r="B297" s="7" t="n"/>
      <c r="C297" s="7" t="n"/>
      <c r="D297" s="7" t="n"/>
      <c r="E297" s="7" t="n"/>
      <c r="F297" s="7" t="n"/>
      <c r="G297" s="7" t="n"/>
      <c r="H297" s="8" t="n"/>
    </row>
    <row r="298" ht="14" customHeight="1">
      <c r="A298" s="12" t="inlineStr">
        <is>
          <t>▸ Items below require manual review / site confirmation</t>
        </is>
      </c>
      <c r="B298" s="13" t="n"/>
      <c r="C298" s="13" t="n"/>
      <c r="D298" s="13" t="n"/>
      <c r="E298" s="13" t="n"/>
      <c r="F298" s="13" t="n"/>
      <c r="G298" s="13" t="n"/>
      <c r="H298" s="13" t="n"/>
    </row>
    <row r="299">
      <c r="A299" s="14" t="inlineStr"/>
      <c r="B299" s="15" t="inlineStr">
        <is>
          <t>WC Pan — Supply &amp; Fix</t>
        </is>
      </c>
      <c r="C299" s="16" t="n">
        <v>1</v>
      </c>
      <c r="D299" s="14" t="inlineStr">
        <is>
          <t>nr</t>
        </is>
      </c>
      <c r="E299" s="14" t="n"/>
      <c r="F299" s="14" t="n"/>
      <c r="G299" s="14" t="inlineStr">
        <is>
          <t>M</t>
        </is>
      </c>
      <c r="H299" s="15" t="inlineStr">
        <is>
          <t>MANUAL REVIEW REQUIRED. Inferred from room type 'toilet'.</t>
        </is>
      </c>
    </row>
    <row r="300">
      <c r="A300" s="14" t="inlineStr"/>
      <c r="B300" s="15" t="inlineStr">
        <is>
          <t>WC Cistern — Supply &amp; Fix</t>
        </is>
      </c>
      <c r="C300" s="16" t="n">
        <v>1</v>
      </c>
      <c r="D300" s="14" t="inlineStr">
        <is>
          <t>nr</t>
        </is>
      </c>
      <c r="E300" s="14" t="n"/>
      <c r="F300" s="14" t="n"/>
      <c r="G300" s="14" t="inlineStr">
        <is>
          <t>M</t>
        </is>
      </c>
      <c r="H300" s="15" t="inlineStr">
        <is>
          <t>MANUAL REVIEW REQUIRED. Inferred from room type 'toilet'.</t>
        </is>
      </c>
    </row>
    <row r="301">
      <c r="A301" s="14" t="inlineStr"/>
      <c r="B301" s="15" t="inlineStr">
        <is>
          <t>Hand Basin — Supply &amp; Fix</t>
        </is>
      </c>
      <c r="C301" s="16" t="n">
        <v>1</v>
      </c>
      <c r="D301" s="14" t="inlineStr">
        <is>
          <t>nr</t>
        </is>
      </c>
      <c r="E301" s="14" t="n"/>
      <c r="F301" s="14" t="n"/>
      <c r="G301" s="14" t="inlineStr">
        <is>
          <t>M</t>
        </is>
      </c>
      <c r="H301" s="15" t="inlineStr">
        <is>
          <t>MANUAL REVIEW REQUIRED. Inferred from room type 'toilet'.</t>
        </is>
      </c>
    </row>
    <row r="302">
      <c r="A302" s="14" t="inlineStr"/>
      <c r="B302" s="15" t="inlineStr">
        <is>
          <t>Tapware — Supply &amp; Fix</t>
        </is>
      </c>
      <c r="C302" s="16" t="n">
        <v>1</v>
      </c>
      <c r="D302" s="14" t="inlineStr">
        <is>
          <t>set</t>
        </is>
      </c>
      <c r="E302" s="14" t="n"/>
      <c r="F302" s="14" t="n"/>
      <c r="G302" s="14" t="inlineStr">
        <is>
          <t>M</t>
        </is>
      </c>
      <c r="H302" s="15" t="inlineStr">
        <is>
          <t>MANUAL REVIEW REQUIRED. Inferred from room type 'toilet'.</t>
        </is>
      </c>
    </row>
    <row r="303">
      <c r="A303" s="14" t="inlineStr"/>
      <c r="B303" s="15" t="inlineStr">
        <is>
          <t>Mirror / Medicine Cabinet — Supply &amp; Fix</t>
        </is>
      </c>
      <c r="C303" s="16" t="n">
        <v>1</v>
      </c>
      <c r="D303" s="14" t="inlineStr">
        <is>
          <t>nr</t>
        </is>
      </c>
      <c r="E303" s="14" t="n"/>
      <c r="F303" s="14" t="n"/>
      <c r="G303" s="14" t="inlineStr">
        <is>
          <t>L</t>
        </is>
      </c>
      <c r="H303" s="15" t="inlineStr">
        <is>
          <t>MANUAL REVIEW REQUIRED. Inferred from room type 'toilet'.</t>
        </is>
      </c>
    </row>
    <row r="304">
      <c r="A304" s="14" t="inlineStr"/>
      <c r="B304" s="15" t="inlineStr">
        <is>
          <t>Toilet Roll Holder — Supply &amp; Fix</t>
        </is>
      </c>
      <c r="C304" s="16" t="n">
        <v>1</v>
      </c>
      <c r="D304" s="14" t="inlineStr">
        <is>
          <t>nr</t>
        </is>
      </c>
      <c r="E304" s="14" t="n"/>
      <c r="F304" s="14" t="n"/>
      <c r="G304" s="14" t="inlineStr">
        <is>
          <t>L</t>
        </is>
      </c>
      <c r="H304" s="15" t="inlineStr">
        <is>
          <t>MANUAL REVIEW REQUIRED. Inferred from room type 'toilet'.</t>
        </is>
      </c>
    </row>
    <row r="305">
      <c r="A305" s="14" t="inlineStr"/>
      <c r="B305" s="15" t="inlineStr">
        <is>
          <t>Hand Towel Rail — Supply &amp; Fix</t>
        </is>
      </c>
      <c r="C305" s="16" t="n">
        <v>1</v>
      </c>
      <c r="D305" s="14" t="inlineStr">
        <is>
          <t>nr</t>
        </is>
      </c>
      <c r="E305" s="14" t="n"/>
      <c r="F305" s="14" t="n"/>
      <c r="G305" s="14" t="inlineStr">
        <is>
          <t>L</t>
        </is>
      </c>
      <c r="H305" s="15" t="inlineStr">
        <is>
          <t>MANUAL REVIEW REQUIRED. Inferred from room type 'toilet'.</t>
        </is>
      </c>
    </row>
  </sheetData>
  <autoFilter ref="A2:H305"/>
  <mergeCells count="80">
    <mergeCell ref="A130:H130"/>
    <mergeCell ref="A261:H261"/>
    <mergeCell ref="A222:H222"/>
    <mergeCell ref="A49:H49"/>
    <mergeCell ref="A196:H196"/>
    <mergeCell ref="A174:H174"/>
    <mergeCell ref="A256:H256"/>
    <mergeCell ref="A183:H183"/>
    <mergeCell ref="A158:H158"/>
    <mergeCell ref="A3:H3"/>
    <mergeCell ref="A160:H160"/>
    <mergeCell ref="A150:H150"/>
    <mergeCell ref="A32:H32"/>
    <mergeCell ref="A224:H224"/>
    <mergeCell ref="A29:H29"/>
    <mergeCell ref="A96:H96"/>
    <mergeCell ref="A152:H152"/>
    <mergeCell ref="A288:H288"/>
    <mergeCell ref="A249:H249"/>
    <mergeCell ref="A289:H289"/>
    <mergeCell ref="A258:H258"/>
    <mergeCell ref="A73:H73"/>
    <mergeCell ref="A266:H266"/>
    <mergeCell ref="A250:H250"/>
    <mergeCell ref="A197:H197"/>
    <mergeCell ref="A228:H228"/>
    <mergeCell ref="A146:H146"/>
    <mergeCell ref="A16:H16"/>
    <mergeCell ref="A252:H252"/>
    <mergeCell ref="A221:H221"/>
    <mergeCell ref="A236:H236"/>
    <mergeCell ref="A214:H214"/>
    <mergeCell ref="A294:H294"/>
    <mergeCell ref="A213:H213"/>
    <mergeCell ref="A206:H206"/>
    <mergeCell ref="A262:H262"/>
    <mergeCell ref="A144:H144"/>
    <mergeCell ref="A125:H125"/>
    <mergeCell ref="A72:H72"/>
    <mergeCell ref="A112:H112"/>
    <mergeCell ref="A232:H232"/>
    <mergeCell ref="A59:H59"/>
    <mergeCell ref="A169:H169"/>
    <mergeCell ref="A225:H225"/>
    <mergeCell ref="A88:H88"/>
    <mergeCell ref="A227:H227"/>
    <mergeCell ref="A283:H283"/>
    <mergeCell ref="A217:H217"/>
    <mergeCell ref="A277:H277"/>
    <mergeCell ref="A74:H74"/>
    <mergeCell ref="A267:H267"/>
    <mergeCell ref="A269:H269"/>
    <mergeCell ref="A8:H8"/>
    <mergeCell ref="A17:H17"/>
    <mergeCell ref="A131:H131"/>
    <mergeCell ref="A259:H259"/>
    <mergeCell ref="A100:H100"/>
    <mergeCell ref="A253:H253"/>
    <mergeCell ref="A231:H231"/>
    <mergeCell ref="A10:H10"/>
    <mergeCell ref="A173:H173"/>
    <mergeCell ref="A34:H34"/>
    <mergeCell ref="A245:H245"/>
    <mergeCell ref="A276:H276"/>
    <mergeCell ref="A39:H39"/>
    <mergeCell ref="A207:H207"/>
    <mergeCell ref="A1:H1"/>
    <mergeCell ref="A94:H94"/>
    <mergeCell ref="A287:H287"/>
    <mergeCell ref="A281:H281"/>
    <mergeCell ref="A87:H87"/>
    <mergeCell ref="A255:H255"/>
    <mergeCell ref="A12:H12"/>
    <mergeCell ref="A248:H248"/>
    <mergeCell ref="A297:H297"/>
    <mergeCell ref="A113:H113"/>
    <mergeCell ref="A298:H298"/>
    <mergeCell ref="A4:H4"/>
    <mergeCell ref="A293:H293"/>
    <mergeCell ref="A220:H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14" customWidth="1" min="4" max="4"/>
    <col width="10" customWidth="1" min="5" max="5"/>
    <col width="12" customWidth="1" min="6" max="6"/>
    <col width="12" customWidth="1" min="7" max="7"/>
    <col width="20" customWidth="1" min="8" max="8"/>
    <col width="45" customWidth="1" min="9" max="9"/>
  </cols>
  <sheetData>
    <row r="1" ht="28" customHeight="1">
      <c r="A1" s="1" t="inlineStr">
        <is>
          <t>BILL OF QUANTITIES — project2</t>
        </is>
      </c>
    </row>
    <row r="2" ht="30" customHeight="1">
      <c r="A2" s="2" t="inlineStr">
        <is>
          <t>STOCK CODE</t>
        </is>
      </c>
      <c r="B2" s="2" t="inlineStr">
        <is>
          <t>MATERIALS DESCRIPTION</t>
        </is>
      </c>
      <c r="C2" s="2" t="inlineStr">
        <is>
          <t>QTY</t>
        </is>
      </c>
      <c r="D2" s="2" t="inlineStr"/>
      <c r="E2" s="2" t="inlineStr">
        <is>
          <t>RATE (PGK)</t>
        </is>
      </c>
      <c r="F2" s="2" t="inlineStr">
        <is>
          <t>AMOUNT (PGK)</t>
        </is>
      </c>
      <c r="G2" s="2" t="inlineStr">
        <is>
          <t>CONFIDENCE</t>
        </is>
      </c>
      <c r="H2" s="2" t="inlineStr">
        <is>
          <t>SOURCE</t>
        </is>
      </c>
      <c r="I2" s="2" t="inlineStr">
        <is>
          <t>NOTES / DRAWING REF</t>
        </is>
      </c>
    </row>
    <row r="3" ht="18" customHeight="1">
      <c r="A3" s="30" t="inlineStr">
        <is>
          <t>50106 - WPC (Timber)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</row>
    <row r="4">
      <c r="A4" s="32" t="inlineStr"/>
      <c r="B4" s="33" t="inlineStr">
        <is>
          <t>Timber Skirting | 25 x 75 x 2400mm Timber</t>
        </is>
      </c>
      <c r="C4" s="34" t="n">
        <v>88.3</v>
      </c>
      <c r="D4" s="32" t="inlineStr">
        <is>
          <t>calculated</t>
        </is>
      </c>
      <c r="E4" s="32" t="n"/>
      <c r="F4" s="32" t="n"/>
      <c r="G4" s="32" t="inlineStr">
        <is>
          <t>MEDIUM</t>
        </is>
      </c>
      <c r="H4" s="32" t="inlineStr">
        <is>
          <t>ext_walls</t>
        </is>
      </c>
      <c r="I4" s="33" t="inlineStr">
        <is>
          <t xml:space="preserve">Skirting = external wall interior face + both faces of internal partitions, minus door opening widths. Door gap deductions: ext_doors=0.920 m (DOOR_90×1); int_doors_×2f=8.000 m (DOOR_82×4, DOOR_72×1). Gross=97.2 m → net=88.3 m. </t>
        </is>
      </c>
    </row>
    <row r="5">
      <c r="A5" s="14" t="inlineStr"/>
      <c r="B5" s="15" t="inlineStr">
        <is>
          <t>Floor Finish | Vinyl Plank (Dry Zone)</t>
        </is>
      </c>
      <c r="C5" s="16" t="n">
        <v>60.3</v>
      </c>
      <c r="D5" s="14" t="inlineStr">
        <is>
          <t>calculated</t>
        </is>
      </c>
      <c r="E5" s="14" t="n"/>
      <c r="F5" s="14" t="n"/>
      <c r="G5" s="14" t="inlineStr">
        <is>
          <t>LOW</t>
        </is>
      </c>
      <c r="H5" s="14" t="inlineStr">
        <is>
          <t>config_backed → space_model</t>
        </is>
      </c>
      <c r="I5" s="15" t="inlineStr">
        <is>
          <t>MANUAL REVIEW REQUIRED. [Zone: internal_dry] Vinyl plank finish for 5 dry internal space(s). Verandah (21.6 m²) excluded — WPC decking in K-package. CONFIG-BACKED FALLBACK: Space areas from config room_schedule only. No room polygons in DXF; no IfcSpace in IFC. These are estimated areas — verify all room dimensions from architectural drawings.  LAYERED ASSEMBLY — FINISH LAYER: this row is the finish above the FC sheet substrate (G-package, 64.80 m² total internal substrate). Substrate covers all internal zones; finish type differs per zone. External verandah (21.6 m²) uses WPC decking (K-package) — no FC substrate and no finish row here.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6">
      <c r="A6" s="14" t="inlineStr"/>
      <c r="B6" s="15" t="inlineStr">
        <is>
          <t>Vinyl Plank — Supply Total (10% cut waste)</t>
        </is>
      </c>
      <c r="C6" s="16" t="n">
        <v>66.3</v>
      </c>
      <c r="D6" s="14" t="inlineStr">
        <is>
          <t>calculated</t>
        </is>
      </c>
      <c r="E6" s="14" t="n"/>
      <c r="F6" s="14" t="n"/>
      <c r="G6" s="14" t="inlineStr">
        <is>
          <t>LOW</t>
        </is>
      </c>
      <c r="H6" s="14" t="inlineStr">
        <is>
          <t>config_backed → space_model</t>
        </is>
      </c>
      <c r="I6" s="15" t="inlineStr">
        <is>
          <t>MANUAL REVIEW REQUIRED. [Zone: internal_dry] Vinyl plank supply: 60.30m² net + 10% cut waste = 66.3m². 10% is standard for rectangular rooms with plank direction runs. Adjust for irregular layout or diagonal pattern. Spec: LVT/SPC vinyl plank — thickness and finish to be confirmed by architect.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7">
      <c r="A7" s="14" t="inlineStr"/>
      <c r="B7" s="15" t="inlineStr">
        <is>
          <t>Floor Finish | Ceramic Tile (Wet Zone)</t>
        </is>
      </c>
      <c r="C7" s="16" t="n">
        <v>4.5</v>
      </c>
      <c r="D7" s="14" t="inlineStr">
        <is>
          <t>calculated</t>
        </is>
      </c>
      <c r="E7" s="14" t="n"/>
      <c r="F7" s="14" t="n"/>
      <c r="G7" s="14" t="inlineStr">
        <is>
          <t>LOW</t>
        </is>
      </c>
      <c r="H7" s="14" t="inlineStr">
        <is>
          <t>config_backed → space_model</t>
        </is>
      </c>
      <c r="I7" s="15" t="inlineStr">
        <is>
          <t>MANUAL REVIEW REQUIRED. [Zone: internal_wet] Ceramic tile (non-slip) for wet space(s): Toilet (4.50 m²). CONFIG-BACKED FALLBACK: Space areas from config room_schedule only. No room polygons in DXF; no IfcSpace in IFC. These are estimated areas — verify all room dimensions from architectural drawings. Verify wet zone classification with architect.   LAYERED ASSEMBLY — FINISH LAYER: this row is the finish above the FC sheet substrate (G-package, 64.80 m² total internal substrate). Substrate covers all internal zones; finish type differs per zone. External verandah (21.6 m²) uses WPC decking (K-package) — no FC substrate and no finish row here.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8">
      <c r="A8" s="14" t="inlineStr"/>
      <c r="B8" s="15" t="inlineStr">
        <is>
          <t>Ceramic Floor Tile — Supply Total (15% cut waste)</t>
        </is>
      </c>
      <c r="C8" s="16" t="n">
        <v>5.17</v>
      </c>
      <c r="D8" s="14" t="inlineStr">
        <is>
          <t>calculated</t>
        </is>
      </c>
      <c r="E8" s="14" t="n"/>
      <c r="F8" s="14" t="n"/>
      <c r="G8" s="14" t="inlineStr">
        <is>
          <t>LOW</t>
        </is>
      </c>
      <c r="H8" s="14" t="inlineStr">
        <is>
          <t>config_backed → space_model</t>
        </is>
      </c>
      <c r="I8" s="15" t="inlineStr">
        <is>
          <t>MANUAL REVIEW REQUIRED. Ceramic floor tile supply order quantity = 4.50m² net area + 15% cut waste = 5.17m². 15% is standard for square tiles in a regular wet room. Tile spec (size, finish, slip rating) to be confirmed by architect. Verify with wet area tile schedule before ordering.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9">
      <c r="A9" s="14" t="inlineStr"/>
      <c r="B9" s="15" t="inlineStr">
        <is>
          <t>Floor Tile Adhesive — Wet Area (20kg bag)</t>
        </is>
      </c>
      <c r="C9" s="16" t="n">
        <v>2</v>
      </c>
      <c r="D9" s="14" t="inlineStr">
        <is>
          <t>calculated</t>
        </is>
      </c>
      <c r="E9" s="14" t="n"/>
      <c r="F9" s="14" t="n"/>
      <c r="G9" s="14" t="inlineStr">
        <is>
          <t>LOW</t>
        </is>
      </c>
      <c r="H9" s="14" t="inlineStr">
        <is>
          <t>config_backed → space_model</t>
        </is>
      </c>
      <c r="I9" s="15" t="inlineStr">
        <is>
          <t>MANUAL REVIEW REQUIRED. 20kg bag of tile adhesive ≈ 4 m² coverage on floor. Verify tile size and spec.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10">
      <c r="A10" s="14" t="inlineStr"/>
      <c r="B10" s="15" t="inlineStr">
        <is>
          <t>Floor Tile Grout — Wet Area (3kg bag)</t>
        </is>
      </c>
      <c r="C10" s="16" t="n">
        <v>1</v>
      </c>
      <c r="D10" s="14" t="inlineStr">
        <is>
          <t>calculated</t>
        </is>
      </c>
      <c r="E10" s="14" t="n"/>
      <c r="F10" s="14" t="n"/>
      <c r="G10" s="14" t="inlineStr">
        <is>
          <t>LOW</t>
        </is>
      </c>
      <c r="H10" s="14" t="inlineStr">
        <is>
          <t>config_backed → space_model</t>
        </is>
      </c>
      <c r="I10" s="15" t="inlineStr">
        <is>
          <t>MANUAL REVIEW REQUIRED. 3kg bag of grout ≈ 6 m² floor tile coverage. Adjust for joint width and tile size.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11">
      <c r="A11" s="32" t="inlineStr"/>
      <c r="B11" s="33" t="inlineStr">
        <is>
          <t>Paint | External, two coats</t>
        </is>
      </c>
      <c r="C11" s="34" t="n">
        <v>92.16</v>
      </c>
      <c r="D11" s="32" t="inlineStr">
        <is>
          <t>calculated</t>
        </is>
      </c>
      <c r="E11" s="32" t="n"/>
      <c r="F11" s="32" t="n"/>
      <c r="G11" s="32" t="inlineStr">
        <is>
          <t>MEDIUM</t>
        </is>
      </c>
      <c r="H11" s="32" t="inlineStr">
        <is>
          <t>dxf_geometry</t>
        </is>
      </c>
      <c r="I11" s="33" t="inlineStr">
        <is>
          <t>Gross area; no deduction for openings.</t>
        </is>
      </c>
    </row>
    <row r="12">
      <c r="A12" s="32" t="inlineStr"/>
      <c r="B12" s="33" t="inlineStr">
        <is>
          <t>Paint | Internal, two coats</t>
        </is>
      </c>
      <c r="C12" s="34" t="n">
        <v>190.12</v>
      </c>
      <c r="D12" s="32" t="inlineStr">
        <is>
          <t>calculated</t>
        </is>
      </c>
      <c r="E12" s="32" t="n"/>
      <c r="F12" s="32" t="n"/>
      <c r="G12" s="32" t="inlineStr">
        <is>
          <t>MEDIUM</t>
        </is>
      </c>
      <c r="H12" s="32" t="inlineStr">
        <is>
          <t>ceiling_area=49.00 m²; int_wal</t>
        </is>
      </c>
      <c r="I12" s="33" t="inlineStr">
        <is>
          <t xml:space="preserve">Both faces of internal partitions included. </t>
        </is>
      </c>
    </row>
    <row r="13">
      <c r="A13" s="14" t="inlineStr"/>
      <c r="B13" s="15" t="inlineStr">
        <is>
          <t>Paint | Wall / Ceiling</t>
        </is>
      </c>
      <c r="C13" s="16" t="n">
        <v>24</v>
      </c>
      <c r="D13" s="14" t="inlineStr">
        <is>
          <t>calculated</t>
        </is>
      </c>
      <c r="E13" s="14" t="n"/>
      <c r="F13" s="14" t="n"/>
      <c r="G13" s="14" t="inlineStr">
        <is>
          <t>LOW</t>
        </is>
      </c>
      <c r="H13" s="14" t="inlineStr">
        <is>
          <t>total_paint_area=282.28 m² (ex</t>
        </is>
      </c>
      <c r="I13" s="15" t="inlineStr">
        <is>
          <t>MANUAL REVIEW REQUIRED. Primer/sealer for FC sheet surfaces before topcoat. 10L can ≈ 12 m² at 1 coat. Adjust for 2-coat system and specific product coverage. Verify primer type (FC-compatible acrylic sealer) with painter.</t>
        </is>
      </c>
    </row>
    <row r="14" ht="18" customHeight="1">
      <c r="A14" s="30" t="inlineStr">
        <is>
          <t>50107 - Structural &amp; Base Steel &amp; Footings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>
      <c r="A15" s="35" t="inlineStr"/>
      <c r="B15" s="36" t="inlineStr">
        <is>
          <t>Roof Panel System — LGS</t>
        </is>
      </c>
      <c r="C15" s="37" t="n">
        <v>481.74</v>
      </c>
      <c r="D15" s="35" t="inlineStr">
        <is>
          <t>measured</t>
        </is>
      </c>
      <c r="E15" s="35" t="n"/>
      <c r="F15" s="35" t="n"/>
      <c r="G15" s="35" t="inlineStr">
        <is>
          <t>HIGH</t>
        </is>
      </c>
      <c r="H15" s="35" t="inlineStr">
        <is>
          <t>framecad_bom</t>
        </is>
      </c>
      <c r="I15" s="36" t="inlineStr"/>
    </row>
    <row r="16">
      <c r="A16" s="35" t="inlineStr"/>
      <c r="B16" s="36" t="inlineStr">
        <is>
          <t>Roof Truss System — LGS</t>
        </is>
      </c>
      <c r="C16" s="37" t="n">
        <v>1634.29</v>
      </c>
      <c r="D16" s="35" t="inlineStr">
        <is>
          <t>measured</t>
        </is>
      </c>
      <c r="E16" s="35" t="n"/>
      <c r="F16" s="35" t="n"/>
      <c r="G16" s="35" t="inlineStr">
        <is>
          <t>HIGH</t>
        </is>
      </c>
      <c r="H16" s="35" t="inlineStr">
        <is>
          <t>framecad_bom</t>
        </is>
      </c>
      <c r="I16" s="36" t="inlineStr">
        <is>
          <t>QA NOTE: FrameCAD BOM 'Roof Trusses' tab total includes all roof structural members (truss chords, webs, purlin/rafter runs). This is the correct procurement quantity. An assembled-frame-count comparison will show a lower lm figure — the difference is expected and not a data error.</t>
        </is>
      </c>
    </row>
    <row r="17">
      <c r="A17" s="35" t="inlineStr"/>
      <c r="B17" s="36" t="inlineStr">
        <is>
          <t>Wall Framing System — LGS</t>
        </is>
      </c>
      <c r="C17" s="37" t="n">
        <v>2250.69</v>
      </c>
      <c r="D17" s="35" t="inlineStr">
        <is>
          <t>measured</t>
        </is>
      </c>
      <c r="E17" s="35" t="n"/>
      <c r="F17" s="35" t="n"/>
      <c r="G17" s="35" t="inlineStr">
        <is>
          <t>HIGH</t>
        </is>
      </c>
      <c r="H17" s="35" t="inlineStr">
        <is>
          <t>framecad_bom</t>
        </is>
      </c>
      <c r="I17" s="36" t="inlineStr"/>
    </row>
    <row r="18">
      <c r="A18" s="35" t="inlineStr"/>
      <c r="B18" s="36" t="inlineStr">
        <is>
          <t>Wall Framing System — LGS</t>
        </is>
      </c>
      <c r="C18" s="37" t="n">
        <v>3.57</v>
      </c>
      <c r="D18" s="35" t="inlineStr">
        <is>
          <t>measured</t>
        </is>
      </c>
      <c r="E18" s="35" t="n"/>
      <c r="F18" s="35" t="n"/>
      <c r="G18" s="35" t="inlineStr">
        <is>
          <t>HIGH</t>
        </is>
      </c>
      <c r="H18" s="35" t="inlineStr">
        <is>
          <t>framecad_bom</t>
        </is>
      </c>
      <c r="I18" s="36" t="inlineStr"/>
    </row>
    <row r="19">
      <c r="A19" s="35" t="inlineStr"/>
      <c r="B19" s="36" t="inlineStr">
        <is>
          <t>Wall Framing System — LGS</t>
        </is>
      </c>
      <c r="C19" s="37" t="n">
        <v>49.73</v>
      </c>
      <c r="D19" s="35" t="inlineStr">
        <is>
          <t>measured</t>
        </is>
      </c>
      <c r="E19" s="35" t="n"/>
      <c r="F19" s="35" t="n"/>
      <c r="G19" s="35" t="inlineStr">
        <is>
          <t>HIGH</t>
        </is>
      </c>
      <c r="H19" s="35" t="inlineStr">
        <is>
          <t>framecad_bom</t>
        </is>
      </c>
      <c r="I19" s="36" t="inlineStr"/>
    </row>
    <row r="20">
      <c r="A20" s="35" t="inlineStr"/>
      <c r="B20" s="36" t="inlineStr">
        <is>
          <t>External Works | Verandah Frame</t>
        </is>
      </c>
      <c r="C20" s="37" t="n">
        <v>69.91</v>
      </c>
      <c r="D20" s="35" t="inlineStr">
        <is>
          <t>measured</t>
        </is>
      </c>
      <c r="E20" s="35" t="n"/>
      <c r="F20" s="35" t="n"/>
      <c r="G20" s="35" t="inlineStr">
        <is>
          <t>HIGH</t>
        </is>
      </c>
      <c r="H20" s="35" t="inlineStr">
        <is>
          <t>ifc_model</t>
        </is>
      </c>
      <c r="I20" s="36" t="inlineStr">
        <is>
          <t>SOURCE NOTE: IFC model provides total verandah frame lm only — no per-member breakdown (posts / beams / bracing) is available from source. Decomposition into posts, beams, and tie-down items is NOT source-backed and has not been attempted. Order as total lm supply; verify section and member schedule with FrameCAD engineer before fabrication.</t>
        </is>
      </c>
    </row>
    <row r="21">
      <c r="A21" s="35" t="inlineStr"/>
      <c r="B21" s="36" t="inlineStr">
        <is>
          <t>Steel Post | 75 x 4mm SHS, Q345, HDG600</t>
        </is>
      </c>
      <c r="C21" s="37" t="n">
        <v>96.69</v>
      </c>
      <c r="D21" s="35" t="inlineStr">
        <is>
          <t>measured</t>
        </is>
      </c>
      <c r="E21" s="35" t="n"/>
      <c r="F21" s="35" t="n"/>
      <c r="G21" s="35" t="inlineStr">
        <is>
          <t>HIGH</t>
        </is>
      </c>
      <c r="H21" s="35" t="inlineStr">
        <is>
          <t>ifc_model</t>
        </is>
      </c>
      <c r="I21" s="36" t="inlineStr"/>
    </row>
    <row r="22">
      <c r="A22" s="35" t="inlineStr"/>
      <c r="B22" s="36" t="inlineStr">
        <is>
          <t>Roof Batten | 41mm Top Hat, G550, Z275</t>
        </is>
      </c>
      <c r="C22" s="37" t="n">
        <v>1385.3</v>
      </c>
      <c r="D22" s="35" t="inlineStr">
        <is>
          <t>measured</t>
        </is>
      </c>
      <c r="E22" s="35" t="n"/>
      <c r="F22" s="35" t="n"/>
      <c r="G22" s="35" t="inlineStr">
        <is>
          <t>HIGH</t>
        </is>
      </c>
      <c r="H22" s="35" t="inlineStr">
        <is>
          <t>framecad_bom</t>
        </is>
      </c>
      <c r="I22" s="36" t="inlineStr">
        <is>
          <t>BOM total 266 pieces (1385.3 lm) — all batten zones. Grade split: ≥35mm (roof top-hat) = 85 nr / 510.0 lm; &lt;35mm (ceiling/wall) = 181 nr / 875.3 lm. Zone separation inferred from BOM grade — see per-family rows below.</t>
        </is>
      </c>
    </row>
    <row r="23">
      <c r="A23" s="35" t="inlineStr"/>
      <c r="B23" s="36" t="inlineStr">
        <is>
          <t>Ceiling Batten | G22, 4800mm</t>
        </is>
      </c>
      <c r="C23" s="37" t="n">
        <v>176</v>
      </c>
      <c r="D23" s="35" t="inlineStr">
        <is>
          <t>measured</t>
        </is>
      </c>
      <c r="E23" s="35" t="n"/>
      <c r="F23" s="35" t="n"/>
      <c r="G23" s="35" t="inlineStr">
        <is>
          <t>LOW</t>
        </is>
      </c>
      <c r="H23" s="35" t="inlineStr">
        <is>
          <t>framecad_bom</t>
        </is>
      </c>
      <c r="I23" s="36" t="inlineStr">
        <is>
          <t>Ceiling/wall batten (grade 22mm &lt;35mm threshold). 4800mm stock length. Total: 844.8 lm. Zone inferred from grade — confirm against FrameCAD batten schedule.</t>
        </is>
      </c>
    </row>
    <row r="24">
      <c r="A24" s="35" t="inlineStr"/>
      <c r="B24" s="36" t="inlineStr">
        <is>
          <t>Ceiling Batten | G22, 6100mm</t>
        </is>
      </c>
      <c r="C24" s="37" t="n">
        <v>5</v>
      </c>
      <c r="D24" s="35" t="inlineStr">
        <is>
          <t>measured</t>
        </is>
      </c>
      <c r="E24" s="35" t="n"/>
      <c r="F24" s="35" t="n"/>
      <c r="G24" s="35" t="inlineStr">
        <is>
          <t>LOW</t>
        </is>
      </c>
      <c r="H24" s="35" t="inlineStr">
        <is>
          <t>framecad_bom</t>
        </is>
      </c>
      <c r="I24" s="36" t="inlineStr">
        <is>
          <t>Ceiling/wall batten (grade 22mm &lt;35mm threshold). 6100mm stock length. Total: 30.5 lm. Zone inferred from grade — confirm against FrameCAD batten schedule.</t>
        </is>
      </c>
    </row>
    <row r="25">
      <c r="A25" s="35" t="inlineStr"/>
      <c r="B25" s="36" t="inlineStr">
        <is>
          <t>Roof Batten | 41mm Top Hat, G550, Z275, 6000mm</t>
        </is>
      </c>
      <c r="C25" s="37" t="n">
        <v>85</v>
      </c>
      <c r="D25" s="35" t="inlineStr">
        <is>
          <t>measured</t>
        </is>
      </c>
      <c r="E25" s="35" t="n"/>
      <c r="F25" s="35" t="n"/>
      <c r="G25" s="35" t="inlineStr">
        <is>
          <t>MEDIUM</t>
        </is>
      </c>
      <c r="H25" s="35" t="inlineStr">
        <is>
          <t>framecad_bom</t>
        </is>
      </c>
      <c r="I25" s="36" t="inlineStr">
        <is>
          <t>Roof top-hat batten (grade 40mm ≥35mm threshold). 6000mm stock length. Total: 510.0 lm. Zone inferred from grade — confirm against FrameCAD batten schedule.</t>
        </is>
      </c>
    </row>
    <row r="26">
      <c r="A26" s="14" t="inlineStr"/>
      <c r="B26" s="15" t="inlineStr">
        <is>
          <t>Floor Cassette Panel</t>
        </is>
      </c>
      <c r="C26" s="16" t="n">
        <v>9</v>
      </c>
      <c r="D26" s="14" t="inlineStr">
        <is>
          <t>calculated</t>
        </is>
      </c>
      <c r="E26" s="14" t="n"/>
      <c r="F26" s="14" t="n"/>
      <c r="G26" s="14" t="inlineStr">
        <is>
          <t>MEDIUM</t>
        </is>
      </c>
      <c r="H26" s="14" t="inlineStr">
        <is>
          <t>framecad_dwg</t>
        </is>
      </c>
      <c r="I26" s="15" t="inlineStr">
        <is>
          <t>MANUAL REVIEW REQUIRED. Panel count calculated from DWG-measured floor area / per-panel area (7.182m²). Panel width=3000mm (from E1/E2 edge beam length, HIGH confidence). Panel depth=2394mm (from J1/S1/S2 span length, HIGH confidence). Count=9 MEDIUM confidence — verify from FrameCAD floor panel layout.</t>
        </is>
      </c>
    </row>
    <row r="27">
      <c r="A27" s="14" t="inlineStr"/>
      <c r="B27" s="15" t="inlineStr">
        <is>
          <t>Floor Cassette Panel</t>
        </is>
      </c>
      <c r="C27" s="16" t="n">
        <v>64.64</v>
      </c>
      <c r="D27" s="14" t="inlineStr">
        <is>
          <t>calculated</t>
        </is>
      </c>
      <c r="E27" s="14" t="n"/>
      <c r="F27" s="14" t="n"/>
      <c r="G27" s="14" t="inlineStr">
        <is>
          <t>MEDIUM</t>
        </is>
      </c>
      <c r="H27" s="14" t="inlineStr">
        <is>
          <t>framecad_dwg</t>
        </is>
      </c>
      <c r="I27" s="15" t="inlineStr">
        <is>
          <t>MANUAL REVIEW REQUIRED. Total floor cassette panel area = 9 panels × 7.182m² (3000mm × 2394mm each). Cross-check: main_floor_area from DXF = 64.80m². Verify panel count and area against FrameCAD floor panel layout tab before ordering.</t>
        </is>
      </c>
    </row>
    <row r="28">
      <c r="A28" s="14" t="inlineStr"/>
      <c r="B28" s="15" t="inlineStr">
        <is>
          <t>Floor Joist</t>
        </is>
      </c>
      <c r="C28" s="16" t="n">
        <v>63</v>
      </c>
      <c r="D28" s="14" t="inlineStr">
        <is>
          <t>calculated</t>
        </is>
      </c>
      <c r="E28" s="14" t="n"/>
      <c r="F28" s="14" t="n"/>
      <c r="G28" s="14" t="inlineStr">
        <is>
          <t>MEDIUM</t>
        </is>
      </c>
      <c r="H28" s="14" t="inlineStr">
        <is>
          <t>framecad_dwg</t>
        </is>
      </c>
      <c r="I28" s="15" t="inlineStr">
        <is>
          <t>MANUAL REVIEW REQUIRED. Profile: 150S41-095-500, length: 2394mm. 7 joists per panel — HIGH confidence from DWG Onpage FLayout member schedule. Panel count 9 is MEDIUM (area-derived). Total: 7 × 9 = 63 nr. Total lm: 150.82 lm (63 × 2.394m). Verify panel count against FrameCAD floor panel layout before ordering.</t>
        </is>
      </c>
    </row>
    <row r="29">
      <c r="A29" s="35" t="inlineStr"/>
      <c r="B29" s="36" t="inlineStr">
        <is>
          <t>Floor Joist</t>
        </is>
      </c>
      <c r="C29" s="37" t="n">
        <v>150.82</v>
      </c>
      <c r="D29" s="35" t="inlineStr">
        <is>
          <t>calculated</t>
        </is>
      </c>
      <c r="E29" s="35" t="n"/>
      <c r="F29" s="35" t="n"/>
      <c r="G29" s="35" t="inlineStr">
        <is>
          <t>MEDIUM</t>
        </is>
      </c>
      <c r="H29" s="35" t="inlineStr">
        <is>
          <t>framecad_dwg</t>
        </is>
      </c>
      <c r="I29" s="36" t="inlineStr">
        <is>
          <t>Total joist lm calculated from DWG cassette schedule. 63 nr × 2394mm = 150.82 lm. Use this row for steel procurement ordering.</t>
        </is>
      </c>
    </row>
    <row r="30">
      <c r="A30" s="14" t="inlineStr"/>
      <c r="B30" s="15" t="inlineStr">
        <is>
          <t>Floor Edge Beam</t>
        </is>
      </c>
      <c r="C30" s="16" t="n">
        <v>18</v>
      </c>
      <c r="D30" s="14" t="inlineStr">
        <is>
          <t>calculated</t>
        </is>
      </c>
      <c r="E30" s="14" t="n"/>
      <c r="F30" s="14" t="n"/>
      <c r="G30" s="14" t="inlineStr">
        <is>
          <t>MEDIUM</t>
        </is>
      </c>
      <c r="H30" s="14" t="inlineStr">
        <is>
          <t>framecad_dwg</t>
        </is>
      </c>
      <c r="I30" s="15" t="inlineStr">
        <is>
          <t>MANUAL REVIEW REQUIRED. Profile: 150P41-115-500, length: 3000mm. 2 edge beams per panel (E1×1 + E2×1 — HIGH from DWG schedule). Total: 2 × 9 = 18 nr. Total lm: 54.00 lm.</t>
        </is>
      </c>
    </row>
    <row r="31">
      <c r="A31" s="35" t="inlineStr"/>
      <c r="B31" s="36" t="inlineStr">
        <is>
          <t>Floor Edge Beam</t>
        </is>
      </c>
      <c r="C31" s="37" t="n">
        <v>54</v>
      </c>
      <c r="D31" s="35" t="inlineStr">
        <is>
          <t>calculated</t>
        </is>
      </c>
      <c r="E31" s="35" t="n"/>
      <c r="F31" s="35" t="n"/>
      <c r="G31" s="35" t="inlineStr">
        <is>
          <t>MEDIUM</t>
        </is>
      </c>
      <c r="H31" s="35" t="inlineStr">
        <is>
          <t>framecad_dwg</t>
        </is>
      </c>
      <c r="I31" s="36" t="inlineStr">
        <is>
          <t>Total edge beam lm for procurement ordering. 18 nr × 3000mm = 54.00 lm. Verify profile 150P41-115-500 and section from FrameCAD engineer before ordering.</t>
        </is>
      </c>
    </row>
    <row r="32">
      <c r="A32" s="14" t="inlineStr"/>
      <c r="B32" s="15" t="inlineStr">
        <is>
          <t>Floor Stringer</t>
        </is>
      </c>
      <c r="C32" s="16" t="n">
        <v>18</v>
      </c>
      <c r="D32" s="14" t="inlineStr">
        <is>
          <t>calculated</t>
        </is>
      </c>
      <c r="E32" s="14" t="n"/>
      <c r="F32" s="14" t="n"/>
      <c r="G32" s="14" t="inlineStr">
        <is>
          <t>MEDIUM</t>
        </is>
      </c>
      <c r="H32" s="14" t="inlineStr">
        <is>
          <t>framecad_dwg</t>
        </is>
      </c>
      <c r="I32" s="15" t="inlineStr">
        <is>
          <t>MANUAL REVIEW REQUIRED. Profile: 150S41-115-500, length: 2394mm. 2 stringers per panel (S1×1 + S2×1 — HIGH from DWG schedule). Total: 2 × 9 = 18 nr. Total lm: 43.09 lm.</t>
        </is>
      </c>
    </row>
    <row r="33">
      <c r="A33" s="35" t="inlineStr"/>
      <c r="B33" s="36" t="inlineStr">
        <is>
          <t>Floor Stringer</t>
        </is>
      </c>
      <c r="C33" s="37" t="n">
        <v>43.09</v>
      </c>
      <c r="D33" s="35" t="inlineStr">
        <is>
          <t>calculated</t>
        </is>
      </c>
      <c r="E33" s="35" t="n"/>
      <c r="F33" s="35" t="n"/>
      <c r="G33" s="35" t="inlineStr">
        <is>
          <t>MEDIUM</t>
        </is>
      </c>
      <c r="H33" s="35" t="inlineStr">
        <is>
          <t>framecad_dwg</t>
        </is>
      </c>
      <c r="I33" s="36" t="inlineStr">
        <is>
          <t>Total stringer lm for procurement ordering. 18 nr × 2394mm = 43.09 lm. Verify profile and section from FrameCAD engineer before ordering.</t>
        </is>
      </c>
    </row>
    <row r="34">
      <c r="A34" s="14" t="inlineStr"/>
      <c r="B34" s="15" t="inlineStr">
        <is>
          <t>Floor Bearer | LGS</t>
        </is>
      </c>
      <c r="C34" s="16" t="n">
        <v>2</v>
      </c>
      <c r="D34" s="14" t="inlineStr">
        <is>
          <t>calculated</t>
        </is>
      </c>
      <c r="E34" s="14" t="n"/>
      <c r="F34" s="14" t="n"/>
      <c r="G34" s="14" t="inlineStr">
        <is>
          <t>MEDIUM</t>
        </is>
      </c>
      <c r="H34" s="14" t="inlineStr">
        <is>
          <t>framecad_dwg+dxf_geometry</t>
        </is>
      </c>
      <c r="I34" s="15" t="inlineStr">
        <is>
          <t>MANUAL REVIEW REQUIRED. Number of internal floor bearer lines. DWG panel depth = 2394mm → 3 rows across 7.2m span. Perimeter boundaries bear on strip footings (no separate bearer). Internal lines = 3−1 = 2 nr. Each bearer runs the full building run — see 'lm' row below for ordering length.</t>
        </is>
      </c>
    </row>
    <row r="35">
      <c r="A35" s="14" t="inlineStr"/>
      <c r="B35" s="15" t="inlineStr">
        <is>
          <t>Floor Bearer | LGS</t>
        </is>
      </c>
      <c r="C35" s="16" t="n">
        <v>18</v>
      </c>
      <c r="D35" s="14" t="inlineStr">
        <is>
          <t>calculated</t>
        </is>
      </c>
      <c r="E35" s="14" t="n"/>
      <c r="F35" s="14" t="n"/>
      <c r="G35" s="14" t="inlineStr">
        <is>
          <t>MEDIUM</t>
        </is>
      </c>
      <c r="H35" s="14" t="inlineStr">
        <is>
          <t>framecad_dwg+dxf_geometry</t>
        </is>
      </c>
      <c r="I35" s="15" t="inlineStr">
        <is>
          <t>MANUAL REVIEW REQUIRED. Internal floor bearer / support beam at joist-end bearing positions. DWG panel depth = 2394mm → 3 rows across 7.2m span. Perimeter boundary lines bear on strip footings (no separate member needed). 2 internal lines × 9.0m = 18.0 lm. Bearer section (SHS/RHS or engineered timber) to be confirmed from structural drawings. Verify with FrameCAD engineer.</t>
        </is>
      </c>
    </row>
    <row r="36">
      <c r="A36" s="14" t="inlineStr"/>
      <c r="B36" s="15" t="inlineStr">
        <is>
          <t>Sub-Floor Support Post</t>
        </is>
      </c>
      <c r="C36" s="16" t="n">
        <v>4</v>
      </c>
      <c r="D36" s="14" t="inlineStr">
        <is>
          <t>calculated</t>
        </is>
      </c>
      <c r="E36" s="14" t="n"/>
      <c r="F36" s="14" t="n"/>
      <c r="G36" s="14" t="inlineStr">
        <is>
          <t>LOW</t>
        </is>
      </c>
      <c r="H36" s="14" t="inlineStr">
        <is>
          <t>framecad_dwg+dxf_geometry</t>
        </is>
      </c>
      <c r="I36" s="15" t="inlineStr">
        <is>
          <t>MANUAL REVIEW REQUIRED. Adjustable steel stumps or concrete piers at mid-span support points of internal floor bearers. 2 bearer lines × 2 mid-span pads each = 4 nr. Perimeter end-points land on strip footings. Post type and base plate spec from structural engineer. Verify against pad footing layout and FrameCAD sub-floor schedule.</t>
        </is>
      </c>
    </row>
    <row r="37">
      <c r="A37" s="14" t="inlineStr"/>
      <c r="B37" s="15" t="inlineStr">
        <is>
          <t>Joist Hanger Connector (J1 end fix)</t>
        </is>
      </c>
      <c r="C37" s="16" t="n">
        <v>126</v>
      </c>
      <c r="D37" s="14" t="inlineStr">
        <is>
          <t>calculated</t>
        </is>
      </c>
      <c r="E37" s="14" t="n"/>
      <c r="F37" s="14" t="n"/>
      <c r="G37" s="14" t="inlineStr">
        <is>
          <t>MEDIUM</t>
        </is>
      </c>
      <c r="H37" s="14" t="inlineStr">
        <is>
          <t>framecad_dwg</t>
        </is>
      </c>
      <c r="I37" s="15" t="inlineStr">
        <is>
          <t>MANUAL REVIEW REQUIRED. LGS joist hanger or clip angle at each J1 joist end. Total: 63 joists × 2 ends = 126 nr. Verify hanger type and connection requirement from FrameCAD engineer.</t>
        </is>
      </c>
    </row>
    <row r="38">
      <c r="A38" s="35" t="inlineStr"/>
      <c r="B38" s="36" t="inlineStr">
        <is>
          <t>DPM / Polyethylene Moisture Barrier (200µm)</t>
        </is>
      </c>
      <c r="C38" s="37" t="n">
        <v>71.28</v>
      </c>
      <c r="D38" s="35" t="inlineStr">
        <is>
          <t>calculated</t>
        </is>
      </c>
      <c r="E38" s="35" t="n"/>
      <c r="F38" s="35" t="n"/>
      <c r="G38" s="35" t="inlineStr">
        <is>
          <t>MEDIUM</t>
        </is>
      </c>
      <c r="H38" s="35" t="inlineStr">
        <is>
          <t>dxf_geometry</t>
        </is>
      </c>
      <c r="I38" s="36" t="inlineStr">
        <is>
          <t>200µm polyethylene DPM beneath floor cassettes. 10% added for laps and edge tuck-under. Verify specification from structural/hydraulic engineer.</t>
        </is>
      </c>
    </row>
    <row r="39">
      <c r="A39" s="35" t="inlineStr"/>
      <c r="B39" s="36" t="inlineStr">
        <is>
          <t>FC Sheet Floor | 18mm thk, 1200 x 2400 Sheet</t>
        </is>
      </c>
      <c r="C39" s="37" t="n">
        <v>24</v>
      </c>
      <c r="D39" s="35" t="inlineStr">
        <is>
          <t>calculated</t>
        </is>
      </c>
      <c r="E39" s="35" t="n"/>
      <c r="F39" s="35" t="n"/>
      <c r="G39" s="35" t="inlineStr">
        <is>
          <t>HIGH</t>
        </is>
      </c>
      <c r="H39" s="35" t="inlineStr">
        <is>
          <t>framecad_dwg+dxf_geometry</t>
        </is>
      </c>
      <c r="I39" s="36" t="inlineStr">
        <is>
          <t>FC/ply substrate for all internal enclosed zones (dry + wet combined). Sheet 1200×2400mm (same spec as ceiling FC sheet — confirm if different).  Zone breakdown: dry_internal=60.30 m² (vinyl finish, F-package) + wet_internal=4.50 m² (ceramic tile finish, F-package) = 64.80 m² total substrate. External verandah (21.60 m²) is excluded — WPC decking in K-package. Both dry and wet internal zones use identical FC substrate; finish layer differs above.  Cross-check: DWG panel grid (9 panels × 7.1820m² = 64.64m²) vs DXF area (64.80m²): delta=0.16m² (0.2%) — double-source confirmation upgrades sheet confidence to HIGH.</t>
        </is>
      </c>
    </row>
    <row r="40">
      <c r="A40" s="35" t="inlineStr"/>
      <c r="B40" s="36" t="inlineStr">
        <is>
          <t>Floor Sheet (FC / Plywood)</t>
        </is>
      </c>
      <c r="C40" s="37" t="n">
        <v>25</v>
      </c>
      <c r="D40" s="35" t="inlineStr">
        <is>
          <t>calculated</t>
        </is>
      </c>
      <c r="E40" s="35" t="n"/>
      <c r="F40" s="35" t="n"/>
      <c r="G40" s="35" t="inlineStr">
        <is>
          <t>HIGH</t>
        </is>
      </c>
      <c r="H40" s="35" t="inlineStr">
        <is>
          <t>framecad_dwg+dxf_geometry</t>
        </is>
      </c>
      <c r="I40" s="36" t="inlineStr">
        <is>
          <t>Gross FC/ply sheet supply area (all internal zones). Net floor: 64.80m² × 1.05 waste = 68.04m². Rounded up to 24 full sheets × 2.88m² each = 69.12m². 1200×2400mm sheet assumed.  Zone breakdown: dry_internal=60.30 m² (vinyl finish, F-package) + wet_internal=4.50 m² (ceramic tile finish, F-package) = 64.80 m² total substrate. External verandah (21.60 m²) is excluded — WPC decking in K-package. Both dry and wet internal zones use identical FC substrate; finish layer differs above.  Cross-check: DWG panel grid (9 panels × 7.1820m² = 64.64m²) vs DXF area (64.80m²): delta=0.16m² (0.2%) — double-source confirmation upgrades sheet confidence to HIGH.</t>
        </is>
      </c>
    </row>
    <row r="41">
      <c r="A41" s="35" t="inlineStr"/>
      <c r="B41" s="36" t="inlineStr">
        <is>
          <t>Fixing | FC Floor Sheet Screw</t>
        </is>
      </c>
      <c r="C41" s="37" t="n">
        <v>768</v>
      </c>
      <c r="D41" s="35" t="inlineStr">
        <is>
          <t>calculated</t>
        </is>
      </c>
      <c r="E41" s="35" t="n"/>
      <c r="F41" s="35" t="n"/>
      <c r="G41" s="35" t="inlineStr">
        <is>
          <t>LOW</t>
        </is>
      </c>
      <c r="H41" s="35" t="inlineStr">
        <is>
          <t>framecad_dwg+dxf_geometry</t>
        </is>
      </c>
      <c r="I41" s="36" t="inlineStr">
        <is>
          <t>32 screws per 1200×2400mm sheet: perimeter@200mm + field@300mm (~3 joist lines per 1200mm width). Total: 24 × 32 = 768 nr. Verify with FrameCAD connection report.</t>
        </is>
      </c>
    </row>
    <row r="42">
      <c r="A42" s="35" t="inlineStr"/>
      <c r="B42" s="36" t="inlineStr">
        <is>
          <t>Fixing | FC Floor Sheet Screw</t>
        </is>
      </c>
      <c r="C42" s="37" t="n">
        <v>2</v>
      </c>
      <c r="D42" s="35" t="inlineStr">
        <is>
          <t>calculated</t>
        </is>
      </c>
      <c r="E42" s="35" t="n"/>
      <c r="F42" s="35" t="n"/>
      <c r="G42" s="35" t="inlineStr">
        <is>
          <t>LOW</t>
        </is>
      </c>
      <c r="H42" s="35" t="inlineStr">
        <is>
          <t>framecad_dwg+dxf_geometry</t>
        </is>
      </c>
      <c r="I42" s="36" t="inlineStr">
        <is>
          <t>32 fixings per sheet ÷ 500/box (8G self-drilling 35mm, standard trade supply).</t>
        </is>
      </c>
    </row>
    <row r="43">
      <c r="A43" s="35" t="inlineStr"/>
      <c r="B43" s="36" t="inlineStr">
        <is>
          <t>Floor Sheet (FC / Plywood)</t>
        </is>
      </c>
      <c r="C43" s="37" t="n">
        <v>22</v>
      </c>
      <c r="D43" s="35" t="inlineStr">
        <is>
          <t>calculated</t>
        </is>
      </c>
      <c r="E43" s="35" t="n"/>
      <c r="F43" s="35" t="n"/>
      <c r="G43" s="35" t="inlineStr">
        <is>
          <t>LOW</t>
        </is>
      </c>
      <c r="H43" s="35" t="inlineStr">
        <is>
          <t>framecad_dwg+dxf_geometry</t>
        </is>
      </c>
      <c r="I43" s="36" t="inlineStr">
        <is>
          <t>Construction adhesive for floor sheet to joist. 1 tube per ~3 m² of floor area.</t>
        </is>
      </c>
    </row>
    <row r="44">
      <c r="A44" s="35" t="inlineStr"/>
      <c r="B44" s="36" t="inlineStr">
        <is>
          <t>Substructure | Strip Footing, External Perimeter</t>
        </is>
      </c>
      <c r="C44" s="37" t="n">
        <v>38.4</v>
      </c>
      <c r="D44" s="35" t="inlineStr">
        <is>
          <t>calculated</t>
        </is>
      </c>
      <c r="E44" s="35" t="n"/>
      <c r="F44" s="35" t="n"/>
      <c r="G44" s="35" t="inlineStr">
        <is>
          <t>MEDIUM</t>
        </is>
      </c>
      <c r="H44" s="35" t="inlineStr">
        <is>
          <t>derived_steel_floor</t>
        </is>
      </c>
      <c r="I44" s="36" t="inlineStr">
        <is>
          <t>Strip footing assumed for steel floor frame bearing lines. Assumed 500 mm deep × 400 mm wide. Verify type and dimensions from structural drawings.</t>
        </is>
      </c>
    </row>
    <row r="45">
      <c r="A45" s="35" t="inlineStr"/>
      <c r="B45" s="36" t="inlineStr">
        <is>
          <t>Substructure | Strip Footing Concrete Volume</t>
        </is>
      </c>
      <c r="C45" s="37" t="n">
        <v>7.68</v>
      </c>
      <c r="D45" s="35" t="inlineStr">
        <is>
          <t>calculated</t>
        </is>
      </c>
      <c r="E45" s="35" t="n"/>
      <c r="F45" s="35" t="n"/>
      <c r="G45" s="35" t="inlineStr">
        <is>
          <t>MEDIUM</t>
        </is>
      </c>
      <c r="H45" s="35" t="inlineStr">
        <is>
          <t>dxf_geometry</t>
        </is>
      </c>
      <c r="I45" s="36" t="inlineStr">
        <is>
          <t>Strip footing concrete: 38.4m × 0.5m deep × 0.4m wide = 7.68m³. Dimensions from project_config — project-specific. Confirm grade (min N25) with structural engineer.</t>
        </is>
      </c>
    </row>
    <row r="46">
      <c r="A46" s="35" t="inlineStr"/>
      <c r="B46" s="36" t="inlineStr">
        <is>
          <t>Substructure | Strip Footing Formwork</t>
        </is>
      </c>
      <c r="C46" s="37" t="n">
        <v>38.4</v>
      </c>
      <c r="D46" s="35" t="inlineStr">
        <is>
          <t>calculated</t>
        </is>
      </c>
      <c r="E46" s="35" t="n"/>
      <c r="F46" s="35" t="n"/>
      <c r="G46" s="35" t="inlineStr">
        <is>
          <t>MEDIUM</t>
        </is>
      </c>
      <c r="H46" s="35" t="inlineStr">
        <is>
          <t>derived_steel_floor</t>
        </is>
      </c>
      <c r="I46" s="36" t="inlineStr"/>
    </row>
    <row r="47">
      <c r="A47" s="14" t="inlineStr"/>
      <c r="B47" s="15" t="inlineStr">
        <is>
          <t>Strip Footing — Reo Bar Y12 (2 bars, ext perimeter)</t>
        </is>
      </c>
      <c r="C47" s="16" t="n">
        <v>76.8</v>
      </c>
      <c r="D47" s="14" t="inlineStr">
        <is>
          <t>calculated</t>
        </is>
      </c>
      <c r="E47" s="14" t="n"/>
      <c r="F47" s="14" t="n"/>
      <c r="G47" s="14" t="inlineStr">
        <is>
          <t>LOW</t>
        </is>
      </c>
      <c r="H47" s="14" t="inlineStr">
        <is>
          <t>derived_steel_floor</t>
        </is>
      </c>
      <c r="I47" s="15" t="inlineStr">
        <is>
          <t>MANUAL REVIEW REQUIRED. 2 × Y12 continuous bars assumed for strip footing bearing. Total: 76.8 lm = 13 × 6m stock lengths. Verify bar size, spacing, and lap length from structural engineer.</t>
        </is>
      </c>
    </row>
    <row r="48">
      <c r="A48" s="14" t="inlineStr"/>
      <c r="B48" s="15" t="inlineStr">
        <is>
          <t>Termite Barrier — Physical Membrane (ext perimeter)</t>
        </is>
      </c>
      <c r="C48" s="16" t="n">
        <v>38.4</v>
      </c>
      <c r="D48" s="14" t="inlineStr">
        <is>
          <t>inferred</t>
        </is>
      </c>
      <c r="E48" s="14" t="n"/>
      <c r="F48" s="14" t="n"/>
      <c r="G48" s="14" t="inlineStr">
        <is>
          <t>LOW</t>
        </is>
      </c>
      <c r="H48" s="14" t="inlineStr">
        <is>
          <t>derived_steel_floor</t>
        </is>
      </c>
      <c r="I48" s="15" t="inlineStr">
        <is>
          <t>MANUAL REVIEW REQUIRED. Physical termite management (barrier membrane / Granitgard or equivalent) at all footing/bearer interfaces. Verify treatment type and specification from pest management consultant. Chemical treatment not included.</t>
        </is>
      </c>
    </row>
    <row r="49">
      <c r="A49" s="14" t="inlineStr"/>
      <c r="B49" s="15" t="inlineStr">
        <is>
          <t>Substructure | Bulk Earthworks / Level (provisional)</t>
        </is>
      </c>
      <c r="C49" s="16" t="n">
        <v>0</v>
      </c>
      <c r="D49" s="14" t="inlineStr">
        <is>
          <t>placeholder</t>
        </is>
      </c>
      <c r="E49" s="14" t="n"/>
      <c r="F49" s="14" t="n"/>
      <c r="G49" s="14" t="inlineStr">
        <is>
          <t>LOW</t>
        </is>
      </c>
      <c r="H49" s="14" t="inlineStr">
        <is>
          <t>no site survey in sources</t>
        </is>
      </c>
      <c r="I49" s="15" t="inlineStr">
        <is>
          <t>MANUAL REVIEW REQUIRED. Excavation volume cannot be derived from architectural documents.</t>
        </is>
      </c>
    </row>
    <row r="50">
      <c r="A50" s="35" t="inlineStr"/>
      <c r="B50" s="36" t="inlineStr">
        <is>
          <t>Substructure | Bar Chair (External Footing)</t>
        </is>
      </c>
      <c r="C50" s="37" t="n">
        <v>64</v>
      </c>
      <c r="D50" s="35" t="inlineStr">
        <is>
          <t>calculated</t>
        </is>
      </c>
      <c r="E50" s="35" t="n"/>
      <c r="F50" s="35" t="n"/>
      <c r="G50" s="35" t="inlineStr">
        <is>
          <t>LOW</t>
        </is>
      </c>
      <c r="H50" s="35" t="inlineStr">
        <is>
          <t>derived_steel_floor</t>
        </is>
      </c>
      <c r="I50" s="36" t="inlineStr">
        <is>
          <t>Bar chairs at ~600mm spacing to support Y12 reo bars in external strip footings.</t>
        </is>
      </c>
    </row>
    <row r="51">
      <c r="A51" s="35" t="inlineStr"/>
      <c r="B51" s="36" t="inlineStr">
        <is>
          <t>Substructure | Strip Footing, Internal Bearing</t>
        </is>
      </c>
      <c r="C51" s="37" t="n">
        <v>29.4</v>
      </c>
      <c r="D51" s="35" t="inlineStr">
        <is>
          <t>calculated</t>
        </is>
      </c>
      <c r="E51" s="35" t="n"/>
      <c r="F51" s="35" t="n"/>
      <c r="G51" s="35" t="inlineStr">
        <is>
          <t>MEDIUM</t>
        </is>
      </c>
      <c r="H51" s="35" t="inlineStr">
        <is>
          <t>dxf_geometry</t>
        </is>
      </c>
      <c r="I51" s="36" t="inlineStr">
        <is>
          <t>Internal bearing lines assumed at each internal wall run. Total: 29.4 lm. Verify from structural drawings — actual bearing lines may differ from partition walls.</t>
        </is>
      </c>
    </row>
    <row r="52">
      <c r="A52" s="35" t="inlineStr"/>
      <c r="B52" s="36" t="inlineStr">
        <is>
          <t>Substructure | Strip Footing Internal Formwork</t>
        </is>
      </c>
      <c r="C52" s="37" t="n">
        <v>29.4</v>
      </c>
      <c r="D52" s="35" t="inlineStr">
        <is>
          <t>calculated</t>
        </is>
      </c>
      <c r="E52" s="35" t="n"/>
      <c r="F52" s="35" t="n"/>
      <c r="G52" s="35" t="inlineStr">
        <is>
          <t>MEDIUM</t>
        </is>
      </c>
      <c r="H52" s="35" t="inlineStr">
        <is>
          <t>dxf_geometry</t>
        </is>
      </c>
      <c r="I52" s="36" t="inlineStr">
        <is>
          <t>Edge formwork for internal bearing line strip footings. Matches external formwork method (H03). Total: 29.4 lm.</t>
        </is>
      </c>
    </row>
    <row r="53">
      <c r="A53" s="35" t="inlineStr"/>
      <c r="B53" s="36" t="inlineStr">
        <is>
          <t>Substructure | Strip Footing Internal Concrete Volume</t>
        </is>
      </c>
      <c r="C53" s="37" t="n">
        <v>5.88</v>
      </c>
      <c r="D53" s="35" t="inlineStr">
        <is>
          <t>calculated</t>
        </is>
      </c>
      <c r="E53" s="35" t="n"/>
      <c r="F53" s="35" t="n"/>
      <c r="G53" s="35" t="inlineStr">
        <is>
          <t>MEDIUM</t>
        </is>
      </c>
      <c r="H53" s="35" t="inlineStr">
        <is>
          <t>dxf_geometry</t>
        </is>
      </c>
      <c r="I53" s="36" t="inlineStr">
        <is>
          <t>Internal bearing strip footing concrete: 29.4m × 0.5m deep × 0.4m wide = 5.88m³. Dimensions from project_config — project-specific. Confirm grade (min N25) with structural engineer.</t>
        </is>
      </c>
    </row>
    <row r="54">
      <c r="A54" s="14" t="inlineStr"/>
      <c r="B54" s="15" t="inlineStr">
        <is>
          <t>Substructure | Strip Footing Internal Reo Bar Y12</t>
        </is>
      </c>
      <c r="C54" s="16" t="n">
        <v>58.8</v>
      </c>
      <c r="D54" s="14" t="inlineStr">
        <is>
          <t>calculated</t>
        </is>
      </c>
      <c r="E54" s="14" t="n"/>
      <c r="F54" s="14" t="n"/>
      <c r="G54" s="14" t="inlineStr">
        <is>
          <t>LOW</t>
        </is>
      </c>
      <c r="H54" s="14" t="inlineStr">
        <is>
          <t>dxf_geometry</t>
        </is>
      </c>
      <c r="I54" s="15" t="inlineStr">
        <is>
          <t>MANUAL REVIEW REQUIRED. 2 × Y12 bars for internal bearing strip footings. Total: 58.8 lm = 10 × 6m lengths. Verify from structural engineer.</t>
        </is>
      </c>
    </row>
    <row r="55">
      <c r="A55" s="14" t="inlineStr"/>
      <c r="B55" s="15" t="inlineStr">
        <is>
          <t>Termite Barrier — Physical Membrane (internal bearing lines)</t>
        </is>
      </c>
      <c r="C55" s="16" t="n">
        <v>29.4</v>
      </c>
      <c r="D55" s="14" t="inlineStr">
        <is>
          <t>inferred</t>
        </is>
      </c>
      <c r="E55" s="14" t="n"/>
      <c r="F55" s="14" t="n"/>
      <c r="G55" s="14" t="inlineStr">
        <is>
          <t>LOW</t>
        </is>
      </c>
      <c r="H55" s="14" t="inlineStr">
        <is>
          <t>dxf_geometry</t>
        </is>
      </c>
      <c r="I55" s="15" t="inlineStr">
        <is>
          <t>MANUAL REVIEW REQUIRED. Physical termite management at internal bearing interfaces. Verify treatment specification from pest management consultant.</t>
        </is>
      </c>
    </row>
    <row r="56">
      <c r="A56" s="35" t="inlineStr"/>
      <c r="B56" s="36" t="inlineStr">
        <is>
          <t>Substructure | Bar Chair (Internal Footing)</t>
        </is>
      </c>
      <c r="C56" s="37" t="n">
        <v>49</v>
      </c>
      <c r="D56" s="35" t="inlineStr">
        <is>
          <t>calculated</t>
        </is>
      </c>
      <c r="E56" s="35" t="n"/>
      <c r="F56" s="35" t="n"/>
      <c r="G56" s="35" t="inlineStr">
        <is>
          <t>LOW</t>
        </is>
      </c>
      <c r="H56" s="35" t="inlineStr">
        <is>
          <t>dxf_geometry</t>
        </is>
      </c>
      <c r="I56" s="36" t="inlineStr">
        <is>
          <t>Bar chairs at ~600mm spacing to support Y12 reo in internal strip footings.</t>
        </is>
      </c>
    </row>
    <row r="57">
      <c r="A57" s="35" t="inlineStr"/>
      <c r="B57" s="36" t="inlineStr">
        <is>
          <t>Substructure | Pad Footing, Concrete</t>
        </is>
      </c>
      <c r="C57" s="37" t="n">
        <v>15</v>
      </c>
      <c r="D57" s="35" t="inlineStr">
        <is>
          <t>measured</t>
        </is>
      </c>
      <c r="E57" s="35" t="n"/>
      <c r="F57" s="35" t="n"/>
      <c r="G57" s="35" t="inlineStr">
        <is>
          <t>MEDIUM</t>
        </is>
      </c>
      <c r="H57" s="35" t="inlineStr">
        <is>
          <t>dxf_geometry</t>
        </is>
      </c>
      <c r="I57" s="36" t="inlineStr"/>
    </row>
    <row r="58">
      <c r="A58" s="35" t="inlineStr"/>
      <c r="B58" s="36" t="inlineStr">
        <is>
          <t>Substructure | Pad Footing Concrete Volume</t>
        </is>
      </c>
      <c r="C58" s="37" t="n">
        <v>5.145</v>
      </c>
      <c r="D58" s="35" t="inlineStr">
        <is>
          <t>calculated</t>
        </is>
      </c>
      <c r="E58" s="35" t="n"/>
      <c r="F58" s="35" t="n"/>
      <c r="G58" s="35" t="inlineStr">
        <is>
          <t>MEDIUM</t>
        </is>
      </c>
      <c r="H58" s="35" t="inlineStr">
        <is>
          <t>dxf_geometry</t>
        </is>
      </c>
      <c r="I58" s="36" t="inlineStr">
        <is>
          <t>15 pads × 700mm × 700mm × 700mm = 5.145m³. Pad dimensions from project_config — project-specific. Confirm grade (min N25) and reinforcement with structural engineer.</t>
        </is>
      </c>
    </row>
    <row r="59">
      <c r="A59" s="35" t="inlineStr"/>
      <c r="B59" s="36" t="inlineStr">
        <is>
          <t>Concrete Supply — Substructure Total (all footings)</t>
        </is>
      </c>
      <c r="C59" s="37" t="n">
        <v>18.705</v>
      </c>
      <c r="D59" s="35" t="inlineStr">
        <is>
          <t>calculated</t>
        </is>
      </c>
      <c r="E59" s="35" t="n"/>
      <c r="F59" s="35" t="n"/>
      <c r="G59" s="35" t="inlineStr">
        <is>
          <t>MEDIUM</t>
        </is>
      </c>
      <c r="H59" s="35" t="inlineStr">
        <is>
          <t>derived</t>
        </is>
      </c>
      <c r="I59" s="36" t="inlineStr">
        <is>
          <t>Primary concrete family procurement total for all substructure elements. Includes: Concrete Volume(7.680m³); Concrete Volume(5.880m³); Pad Footing Concrete (m3)(5.145m³). Specify grade (N25 minimum for footings) and confirm with structural engineer. Order as single concrete pour or split by element type as required.</t>
        </is>
      </c>
    </row>
    <row r="60" ht="18" customHeight="1">
      <c r="A60" s="30" t="inlineStr">
        <is>
          <t>50111 - Fixings &amp; Connectors</t>
        </is>
      </c>
      <c r="B60" s="31" t="n"/>
      <c r="C60" s="31" t="n"/>
      <c r="D60" s="31" t="n"/>
      <c r="E60" s="31" t="n"/>
      <c r="F60" s="31" t="n"/>
      <c r="G60" s="31" t="n"/>
      <c r="H60" s="31" t="n"/>
      <c r="I60" s="31" t="n"/>
    </row>
    <row r="61">
      <c r="A61" s="14" t="inlineStr"/>
      <c r="B61" s="15" t="inlineStr">
        <is>
          <t>Fixing | 12G-14x20mm HEX Head, DP</t>
        </is>
      </c>
      <c r="C61" s="16" t="n">
        <v>19</v>
      </c>
      <c r="D61" s="14" t="inlineStr">
        <is>
          <t>calculated</t>
        </is>
      </c>
      <c r="E61" s="14" t="n"/>
      <c r="F61" s="14" t="n"/>
      <c r="G61" s="14" t="inlineStr">
        <is>
          <t>MEDIUM</t>
        </is>
      </c>
      <c r="H61" s="14" t="inlineStr">
        <is>
          <t>framecad_bom</t>
        </is>
      </c>
      <c r="I61" s="15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62">
      <c r="A62" s="14" t="inlineStr"/>
      <c r="B62" s="15" t="inlineStr">
        <is>
          <t>Roof Panel System — LGS</t>
        </is>
      </c>
      <c r="C62" s="16" t="n">
        <v>3</v>
      </c>
      <c r="D62" s="14" t="inlineStr">
        <is>
          <t>calculated</t>
        </is>
      </c>
      <c r="E62" s="14" t="n"/>
      <c r="F62" s="14" t="n"/>
      <c r="G62" s="14" t="inlineStr">
        <is>
          <t>MEDIUM</t>
        </is>
      </c>
      <c r="H62" s="14" t="inlineStr">
        <is>
          <t>framecad_bom</t>
        </is>
      </c>
      <c r="I62" s="15" t="inlineStr">
        <is>
          <t>MANUAL REVIEW REQUIRED. Purlin-to-rafter / roof panel connections: 481.7lm × 3.0 per m = ~1445 screws, 3 boxes. Verify with FrameCAD connection report.</t>
        </is>
      </c>
    </row>
    <row r="63">
      <c r="A63" s="14" t="inlineStr"/>
      <c r="B63" s="15" t="inlineStr">
        <is>
          <t>Fixing | 10G-14x16mm Wafer Head, DP</t>
        </is>
      </c>
      <c r="C63" s="16" t="n">
        <v>7</v>
      </c>
      <c r="D63" s="14" t="inlineStr">
        <is>
          <t>calculated</t>
        </is>
      </c>
      <c r="E63" s="14" t="n"/>
      <c r="F63" s="14" t="n"/>
      <c r="G63" s="14" t="inlineStr">
        <is>
          <t>LOW</t>
        </is>
      </c>
      <c r="H63" s="14" t="inlineStr">
        <is>
          <t>framecad_bom</t>
        </is>
      </c>
      <c r="I63" s="15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64">
      <c r="A64" s="14" t="inlineStr"/>
      <c r="B64" s="15" t="inlineStr">
        <is>
          <t>Fixing | M12 x 75mm Sleeve Anchor (Pad Footings)</t>
        </is>
      </c>
      <c r="C64" s="16" t="n">
        <v>60</v>
      </c>
      <c r="D64" s="14" t="inlineStr">
        <is>
          <t>calculated</t>
        </is>
      </c>
      <c r="E64" s="14" t="n"/>
      <c r="F64" s="14" t="n"/>
      <c r="G64" s="14" t="inlineStr">
        <is>
          <t>MEDIUM</t>
        </is>
      </c>
      <c r="H64" s="14" t="inlineStr">
        <is>
          <t>dxf_geometry</t>
        </is>
      </c>
      <c r="I64" s="15" t="inlineStr">
        <is>
          <t>MANUAL REVIEW REQUIRED. 15 pad footings × 4 M12×75 anchors each (4-bolt base plate). Verify anchor embedment depth and edge distance from structural engineer.</t>
        </is>
      </c>
    </row>
    <row r="65">
      <c r="A65" s="14" t="inlineStr"/>
      <c r="B65" s="15" t="inlineStr">
        <is>
          <t>PH Bracket | Post Holder (PHA/PHB/PHD)</t>
        </is>
      </c>
      <c r="C65" s="16" t="n">
        <v>15</v>
      </c>
      <c r="D65" s="14" t="inlineStr">
        <is>
          <t>calculated</t>
        </is>
      </c>
      <c r="E65" s="14" t="n"/>
      <c r="F65" s="14" t="n"/>
      <c r="G65" s="14" t="inlineStr">
        <is>
          <t>MEDIUM</t>
        </is>
      </c>
      <c r="H65" s="14" t="inlineStr">
        <is>
          <t>dxf_geometry</t>
        </is>
      </c>
      <c r="I65" s="15" t="inlineStr">
        <is>
          <t>MANUAL REVIEW REQUIRED. Post holder brackets at column bases. Count from DXF pad count (direct geometry measurement). Total: 15 nr. Verify bracket type (PHA/PHB/PHD) against post size and load from structural drawings.</t>
        </is>
      </c>
    </row>
    <row r="66">
      <c r="A66" s="14" t="inlineStr"/>
      <c r="B66" s="15" t="inlineStr">
        <is>
          <t>Accessories | Triple Grip Connector (Pryda)</t>
        </is>
      </c>
      <c r="C66" s="16" t="n">
        <v>36</v>
      </c>
      <c r="D66" s="14" t="inlineStr">
        <is>
          <t>calculated</t>
        </is>
      </c>
      <c r="E66" s="14" t="n"/>
      <c r="F66" s="14" t="n"/>
      <c r="G66" s="14" t="inlineStr">
        <is>
          <t>MEDIUM</t>
        </is>
      </c>
      <c r="H66" s="14" t="inlineStr">
        <is>
          <t>dxf_geometry</t>
        </is>
      </c>
      <c r="I66" s="15" t="inlineStr">
        <is>
          <t>MANUAL REVIEW REQUIRED. Roof-to-wall-plate cyclonic uplift connectors at rafter-to-plate junctions. Eave length 42.4m from DXF roof geometry (hip roof — perimeter all sides). Spacing 1.2m (1 per rafter bay at standard 1200mm spacing). Total: ceil(42.4/1.2) = 36 nr. Verify triple grip type and fixing schedule from structural engineer for cyclone region.</t>
        </is>
      </c>
    </row>
    <row r="67">
      <c r="A67" s="14" t="inlineStr"/>
      <c r="B67" s="15" t="inlineStr">
        <is>
          <t>Accessories | Hold Down Washer, Cyclonic</t>
        </is>
      </c>
      <c r="C67" s="16" t="n">
        <v>30</v>
      </c>
      <c r="D67" s="14" t="inlineStr">
        <is>
          <t>calculated</t>
        </is>
      </c>
      <c r="E67" s="14" t="n"/>
      <c r="F67" s="14" t="n"/>
      <c r="G67" s="14" t="inlineStr">
        <is>
          <t>LOW</t>
        </is>
      </c>
      <c r="H67" s="14" t="inlineStr">
        <is>
          <t>dxf_geometry</t>
        </is>
      </c>
      <c r="I67" s="15" t="inlineStr">
        <is>
          <t>MANUAL REVIEW REQUIRED. Hold-down washers at post base connections. 15 pads × 2 = 30 nr. Verify washer specification (size, grade) from structural drawings.</t>
        </is>
      </c>
    </row>
    <row r="68">
      <c r="A68" s="14" t="inlineStr"/>
      <c r="B68" s="15" t="inlineStr">
        <is>
          <t>Accessories | Fix Plate Connector, G350</t>
        </is>
      </c>
      <c r="C68" s="16" t="n">
        <v>34</v>
      </c>
      <c r="D68" s="14" t="inlineStr">
        <is>
          <t>calculated</t>
        </is>
      </c>
      <c r="E68" s="14" t="n"/>
      <c r="F68" s="14" t="n"/>
      <c r="G68" s="14" t="inlineStr">
        <is>
          <t>LOW</t>
        </is>
      </c>
      <c r="H68" s="14" t="inlineStr">
        <is>
          <t>framecad_bom</t>
        </is>
      </c>
      <c r="I68" s="15" t="inlineStr">
        <is>
          <t>MANUAL REVIEW REQUIRED. Fix plates at strap bracing termination points (1 per strap end). 49.7lm ÷ 3.0m avg run = 17 runs × 2 ends = 34 nr. Verify run count and plate spec from FrameCAD connection schedule.</t>
        </is>
      </c>
    </row>
    <row r="69">
      <c r="A69" s="14" t="inlineStr"/>
      <c r="B69" s="15" t="inlineStr">
        <is>
          <t>Accessories | Strap Brace Tensioner</t>
        </is>
      </c>
      <c r="C69" s="16" t="n">
        <v>34</v>
      </c>
      <c r="D69" s="14" t="inlineStr">
        <is>
          <t>calculated</t>
        </is>
      </c>
      <c r="E69" s="14" t="n"/>
      <c r="F69" s="14" t="n"/>
      <c r="G69" s="14" t="inlineStr">
        <is>
          <t>LOW</t>
        </is>
      </c>
      <c r="H69" s="14" t="inlineStr">
        <is>
          <t>framecad_bom</t>
        </is>
      </c>
      <c r="I69" s="15" t="inlineStr">
        <is>
          <t>MANUAL REVIEW REQUIRED. Strap termination anchors: 49.7lm ÷ 3m avg run = 17 runs × 2 ends. Verify strap count and anchor type from FrameCAD connection schedule.</t>
        </is>
      </c>
    </row>
    <row r="70">
      <c r="A70" s="14" t="inlineStr"/>
      <c r="B70" s="15" t="inlineStr">
        <is>
          <t>Accessories | Grommet 35mm Dia</t>
        </is>
      </c>
      <c r="C70" s="16" t="n">
        <v>93</v>
      </c>
      <c r="D70" s="14" t="inlineStr">
        <is>
          <t>inferred</t>
        </is>
      </c>
      <c r="E70" s="14" t="n"/>
      <c r="F70" s="14" t="n"/>
      <c r="G70" s="14" t="inlineStr">
        <is>
          <t>LOW</t>
        </is>
      </c>
      <c r="H70" s="14" t="inlineStr">
        <is>
          <t>dxf_geometry</t>
        </is>
      </c>
      <c r="I70" s="15" t="inlineStr">
        <is>
          <t>MANUAL REVIEW REQUIRED. Cable/conduit grommets at LGS stud penetrations (commercial density). Internal: 29.4m × 2.5/m = 73.5. External (service entries): 38.4m × 0.5/m = 19.2. Total: 93 nr. Quantity depends on electrical/hydraulic layout. Verify from services drawings.</t>
        </is>
      </c>
    </row>
    <row r="71">
      <c r="A71" s="14" t="inlineStr"/>
      <c r="B71" s="15" t="inlineStr">
        <is>
          <t>Fixing | Structural Fixings Remainder (PLACEHOLDER)</t>
        </is>
      </c>
      <c r="C71" s="16" t="n">
        <v>0</v>
      </c>
      <c r="D71" s="14" t="inlineStr">
        <is>
          <t>placeholder</t>
        </is>
      </c>
      <c r="E71" s="14" t="n"/>
      <c r="F71" s="14" t="n"/>
      <c r="G71" s="14" t="inlineStr">
        <is>
          <t>LOW</t>
        </is>
      </c>
      <c r="H71" s="14" t="inlineStr">
        <is>
          <t>no fixing schedule in source d</t>
        </is>
      </c>
      <c r="I71" s="15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72" ht="18" customHeight="1">
      <c r="A72" s="30" t="inlineStr">
        <is>
          <t>50112 - Roof &amp; Roof Plumbing</t>
        </is>
      </c>
      <c r="B72" s="31" t="n"/>
      <c r="C72" s="31" t="n"/>
      <c r="D72" s="31" t="n"/>
      <c r="E72" s="31" t="n"/>
      <c r="F72" s="31" t="n"/>
      <c r="G72" s="31" t="n"/>
      <c r="H72" s="31" t="n"/>
      <c r="I72" s="31" t="n"/>
    </row>
    <row r="73">
      <c r="A73" s="17" t="inlineStr"/>
      <c r="B73" s="18" t="inlineStr">
        <is>
          <t>Insulation | Sisalation / Sarking</t>
        </is>
      </c>
      <c r="C73" s="19" t="n">
        <v>2</v>
      </c>
      <c r="D73" s="17" t="inlineStr">
        <is>
          <t>calculated</t>
        </is>
      </c>
      <c r="E73" s="17" t="n"/>
      <c r="F73" s="17" t="n"/>
      <c r="G73" s="17" t="inlineStr">
        <is>
          <t>HIGH</t>
        </is>
      </c>
      <c r="H73" s="17" t="inlineStr">
        <is>
          <t>dxf_geometry</t>
        </is>
      </c>
      <c r="I73" s="18" t="inlineStr"/>
    </row>
    <row r="74">
      <c r="A74" s="17" t="inlineStr"/>
      <c r="B74" s="18" t="inlineStr">
        <is>
          <t>Hip Capping (metal, pre-formed)</t>
        </is>
      </c>
      <c r="C74" s="19" t="n">
        <v>23.6</v>
      </c>
      <c r="D74" s="17" t="inlineStr">
        <is>
          <t>calculated</t>
        </is>
      </c>
      <c r="E74" s="17" t="n"/>
      <c r="F74" s="17" t="n"/>
      <c r="G74" s="17" t="inlineStr">
        <is>
          <t>MEDIUM</t>
        </is>
      </c>
      <c r="H74" s="17" t="inlineStr">
        <is>
          <t>framecad_layout</t>
        </is>
      </c>
      <c r="I74" s="18" t="inlineStr">
        <is>
          <t>Hip capping over all 4 hip rafter runs. Pitch=15.0° confirmed from FrameCAD Truss Design Summary. Rafter run=4.10 m from DXF roof plan geometry. Hip slope per hip=5.90 m × 4 = 23.6 lm.</t>
        </is>
      </c>
    </row>
    <row r="75">
      <c r="A75" s="17" t="inlineStr"/>
      <c r="B75" s="18" t="inlineStr">
        <is>
          <t>Hip Cap Fixing Screws</t>
        </is>
      </c>
      <c r="C75" s="19" t="n">
        <v>79</v>
      </c>
      <c r="D75" s="17" t="inlineStr">
        <is>
          <t>calculated</t>
        </is>
      </c>
      <c r="E75" s="17" t="n"/>
      <c r="F75" s="17" t="n"/>
      <c r="G75" s="17" t="inlineStr">
        <is>
          <t>MEDIUM</t>
        </is>
      </c>
      <c r="H75" s="17" t="inlineStr">
        <is>
          <t>framecad_layout</t>
        </is>
      </c>
      <c r="I75" s="18" t="inlineStr">
        <is>
          <t>1 screw per 300 mm of hip capping.</t>
        </is>
      </c>
    </row>
    <row r="76">
      <c r="A76" s="17" t="inlineStr"/>
      <c r="B76" s="18" t="inlineStr">
        <is>
          <t>Fixing | Roof Tek Screw, Hex Head, DP</t>
        </is>
      </c>
      <c r="C76" s="19" t="n">
        <v>11</v>
      </c>
      <c r="D76" s="17" t="inlineStr">
        <is>
          <t>calculated</t>
        </is>
      </c>
      <c r="E76" s="17" t="n"/>
      <c r="F76" s="17" t="n"/>
      <c r="G76" s="17" t="inlineStr">
        <is>
          <t>MEDIUM</t>
        </is>
      </c>
      <c r="H76" s="17" t="inlineStr">
        <is>
          <t>dxf_geometry</t>
        </is>
      </c>
      <c r="I76" s="18" t="inlineStr">
        <is>
          <t>1 box per 10 m² (approx 250 screws/box at 25 screws/m²)</t>
        </is>
      </c>
    </row>
    <row r="77">
      <c r="A77" s="14" t="inlineStr"/>
      <c r="B77" s="15" t="inlineStr">
        <is>
          <t>Roof Cladding | Custom Orb Corrugated CGI Sheet</t>
        </is>
      </c>
      <c r="C77" s="16" t="n">
        <v>33</v>
      </c>
      <c r="D77" s="14" t="inlineStr">
        <is>
          <t>calculated</t>
        </is>
      </c>
      <c r="E77" s="14" t="n"/>
      <c r="F77" s="14" t="n"/>
      <c r="G77" s="14" t="inlineStr">
        <is>
          <t>MEDIUM</t>
        </is>
      </c>
      <c r="H77" s="14" t="inlineStr">
        <is>
          <t>dxf_geometry</t>
        </is>
      </c>
      <c r="I77" s="15" t="inlineStr">
        <is>
          <t>MANUAL REVIEW REQUIRED. rafter_run=4.10m (hip W/2, derived from roof plan) + 150mm lap → select 4.5m stock Verify sheet length and profile from spec.</t>
        </is>
      </c>
    </row>
    <row r="78">
      <c r="A78" s="17" t="inlineStr"/>
      <c r="B78" s="18" t="inlineStr">
        <is>
          <t>Roof Cladding | Custom Orb CGI Sheet</t>
        </is>
      </c>
      <c r="C78" s="19" t="n">
        <v>113.16</v>
      </c>
      <c r="D78" s="17" t="inlineStr">
        <is>
          <t>calculated</t>
        </is>
      </c>
      <c r="E78" s="17" t="n"/>
      <c r="F78" s="17" t="n"/>
      <c r="G78" s="17" t="inlineStr">
        <is>
          <t>MEDIUM</t>
        </is>
      </c>
      <c r="H78" s="17" t="inlineStr">
        <is>
          <t>dxf_geometry</t>
        </is>
      </c>
      <c r="I78" s="18" t="inlineStr">
        <is>
          <t>Total corrugated CGI sheet supply area. 33 sheets × 0.762m cover width × 4.5m = 113.16m². Net roof area: 106.60m². Gross supply (incl. waste + side-lap): 113.16m². Verify sheet profile (Custom Orb / Trimdek / Klip-Lok) and colour from spec.</t>
        </is>
      </c>
    </row>
    <row r="79">
      <c r="A79" s="17" t="inlineStr"/>
      <c r="B79" s="18" t="inlineStr">
        <is>
          <t>Ridge Cap | Galvanised, lm</t>
        </is>
      </c>
      <c r="C79" s="19" t="n">
        <v>4.8</v>
      </c>
      <c r="D79" s="17" t="inlineStr">
        <is>
          <t>calculated</t>
        </is>
      </c>
      <c r="E79" s="17" t="n"/>
      <c r="F79" s="17" t="n"/>
      <c r="G79" s="17" t="inlineStr">
        <is>
          <t>MEDIUM</t>
        </is>
      </c>
      <c r="H79" s="17" t="inlineStr">
        <is>
          <t>dxf_geometry</t>
        </is>
      </c>
      <c r="I79" s="18" t="inlineStr"/>
    </row>
    <row r="80">
      <c r="A80" s="17" t="inlineStr"/>
      <c r="B80" s="18" t="inlineStr">
        <is>
          <t>Fixing | Ridge Cap Hex Head Screw</t>
        </is>
      </c>
      <c r="C80" s="19" t="n">
        <v>16</v>
      </c>
      <c r="D80" s="17" t="inlineStr">
        <is>
          <t>calculated</t>
        </is>
      </c>
      <c r="E80" s="17" t="n"/>
      <c r="F80" s="17" t="n"/>
      <c r="G80" s="17" t="inlineStr">
        <is>
          <t>MEDIUM</t>
        </is>
      </c>
      <c r="H80" s="17" t="inlineStr">
        <is>
          <t>dxf_geometry</t>
        </is>
      </c>
      <c r="I80" s="18" t="inlineStr">
        <is>
          <t>1 screw per 300 mm</t>
        </is>
      </c>
    </row>
    <row r="81">
      <c r="A81" s="17" t="inlineStr"/>
      <c r="B81" s="18" t="inlineStr">
        <is>
          <t>Ridge End Cap | Galvanised</t>
        </is>
      </c>
      <c r="C81" s="19" t="n">
        <v>2</v>
      </c>
      <c r="D81" s="17" t="inlineStr">
        <is>
          <t>calculated</t>
        </is>
      </c>
      <c r="E81" s="17" t="n"/>
      <c r="F81" s="17" t="n"/>
      <c r="G81" s="17" t="inlineStr">
        <is>
          <t>MEDIUM</t>
        </is>
      </c>
      <c r="H81" s="17" t="inlineStr">
        <is>
          <t>dxf_geometry</t>
        </is>
      </c>
      <c r="I81" s="18" t="inlineStr">
        <is>
          <t>2 end caps per ridge run (one each end)</t>
        </is>
      </c>
    </row>
    <row r="82">
      <c r="A82" s="17" t="inlineStr"/>
      <c r="B82" s="18" t="inlineStr">
        <is>
          <t>Fascia Board | Galvanised, lm</t>
        </is>
      </c>
      <c r="C82" s="19" t="n">
        <v>42.4</v>
      </c>
      <c r="D82" s="17" t="inlineStr">
        <is>
          <t>calculated</t>
        </is>
      </c>
      <c r="E82" s="17" t="n"/>
      <c r="F82" s="17" t="n"/>
      <c r="G82" s="17" t="inlineStr">
        <is>
          <t>MEDIUM</t>
        </is>
      </c>
      <c r="H82" s="17" t="inlineStr">
        <is>
          <t>dxf_geometry</t>
        </is>
      </c>
      <c r="I82" s="18" t="inlineStr"/>
    </row>
    <row r="83">
      <c r="A83" s="17" t="inlineStr"/>
      <c r="B83" s="18" t="inlineStr">
        <is>
          <t>Fascia | Clips</t>
        </is>
      </c>
      <c r="C83" s="19" t="n">
        <v>71</v>
      </c>
      <c r="D83" s="17" t="inlineStr">
        <is>
          <t>calculated</t>
        </is>
      </c>
      <c r="E83" s="17" t="n"/>
      <c r="F83" s="17" t="n"/>
      <c r="G83" s="17" t="inlineStr">
        <is>
          <t>MEDIUM</t>
        </is>
      </c>
      <c r="H83" s="17" t="inlineStr">
        <is>
          <t>dxf_geometry</t>
        </is>
      </c>
      <c r="I83" s="18" t="inlineStr">
        <is>
          <t>1 clip per 600 mm</t>
        </is>
      </c>
    </row>
    <row r="84">
      <c r="A84" s="17" t="inlineStr"/>
      <c r="B84" s="18" t="inlineStr">
        <is>
          <t>Accessories | Birdproof Foam Strip</t>
        </is>
      </c>
      <c r="C84" s="19" t="n">
        <v>42.4</v>
      </c>
      <c r="D84" s="17" t="inlineStr">
        <is>
          <t>calculated</t>
        </is>
      </c>
      <c r="E84" s="17" t="n"/>
      <c r="F84" s="17" t="n"/>
      <c r="G84" s="17" t="inlineStr">
        <is>
          <t>MEDIUM</t>
        </is>
      </c>
      <c r="H84" s="17" t="inlineStr">
        <is>
          <t>dxf_geometry</t>
        </is>
      </c>
      <c r="I84" s="18" t="inlineStr">
        <is>
          <t>runs full eaves length</t>
        </is>
      </c>
    </row>
    <row r="85">
      <c r="A85" s="17" t="inlineStr"/>
      <c r="B85" s="18" t="inlineStr">
        <is>
          <t>SL-14 | PVC Box Gutter</t>
        </is>
      </c>
      <c r="C85" s="19" t="n">
        <v>42.4</v>
      </c>
      <c r="D85" s="17" t="inlineStr">
        <is>
          <t>calculated</t>
        </is>
      </c>
      <c r="E85" s="17" t="n"/>
      <c r="F85" s="17" t="n"/>
      <c r="G85" s="17" t="inlineStr">
        <is>
          <t>MEDIUM</t>
        </is>
      </c>
      <c r="H85" s="17" t="inlineStr">
        <is>
          <t>dxf_geometry</t>
        </is>
      </c>
      <c r="I85" s="18" t="inlineStr"/>
    </row>
    <row r="86">
      <c r="A86" s="17" t="inlineStr"/>
      <c r="B86" s="18" t="inlineStr">
        <is>
          <t>SL-14 | PVC Gutter Joiner</t>
        </is>
      </c>
      <c r="C86" s="19" t="n">
        <v>3</v>
      </c>
      <c r="D86" s="17" t="inlineStr">
        <is>
          <t>calculated</t>
        </is>
      </c>
      <c r="E86" s="17" t="n"/>
      <c r="F86" s="17" t="n"/>
      <c r="G86" s="17" t="inlineStr">
        <is>
          <t>MEDIUM</t>
        </is>
      </c>
      <c r="H86" s="17" t="inlineStr">
        <is>
          <t>dxf_geometry</t>
        </is>
      </c>
      <c r="I86" s="18" t="inlineStr">
        <is>
          <t>PVC box gutter 6 m stock: joiners = total_lengths − estimated_run_count (≈eaves/10 m per run)</t>
        </is>
      </c>
    </row>
    <row r="87">
      <c r="A87" s="17" t="inlineStr"/>
      <c r="B87" s="18" t="inlineStr">
        <is>
          <t>SL-14 | PVC Gutter Stop End</t>
        </is>
      </c>
      <c r="C87" s="19" t="n">
        <v>6</v>
      </c>
      <c r="D87" s="17" t="inlineStr">
        <is>
          <t>calculated</t>
        </is>
      </c>
      <c r="E87" s="17" t="n"/>
      <c r="F87" s="17" t="n"/>
      <c r="G87" s="17" t="inlineStr">
        <is>
          <t>MEDIUM</t>
        </is>
      </c>
      <c r="H87" s="17" t="inlineStr">
        <is>
          <t>dxf_geometry</t>
        </is>
      </c>
      <c r="I87" s="18" t="inlineStr">
        <is>
          <t>2 per run; add 2 per extra run &gt; 20 m</t>
        </is>
      </c>
    </row>
    <row r="88">
      <c r="A88" s="17" t="inlineStr"/>
      <c r="B88" s="18" t="inlineStr">
        <is>
          <t>SL-14 | PVC Downpipe, 68mm</t>
        </is>
      </c>
      <c r="C88" s="19" t="n">
        <v>6</v>
      </c>
      <c r="D88" s="17" t="inlineStr">
        <is>
          <t>calculated</t>
        </is>
      </c>
      <c r="E88" s="17" t="n"/>
      <c r="F88" s="17" t="n"/>
      <c r="G88" s="17" t="inlineStr">
        <is>
          <t>MEDIUM</t>
        </is>
      </c>
      <c r="H88" s="17" t="inlineStr">
        <is>
          <t>dxf_geometry</t>
        </is>
      </c>
      <c r="I88" s="18" t="inlineStr"/>
    </row>
    <row r="89">
      <c r="A89" s="17" t="inlineStr"/>
      <c r="B89" s="18" t="inlineStr">
        <is>
          <t>SL-14 | PVC Gutter Drop Outlet</t>
        </is>
      </c>
      <c r="C89" s="19" t="n">
        <v>6</v>
      </c>
      <c r="D89" s="17" t="inlineStr">
        <is>
          <t>calculated</t>
        </is>
      </c>
      <c r="E89" s="17" t="n"/>
      <c r="F89" s="17" t="n"/>
      <c r="G89" s="17" t="inlineStr">
        <is>
          <t>MEDIUM</t>
        </is>
      </c>
      <c r="H89" s="17" t="inlineStr">
        <is>
          <t>dxf_geometry</t>
        </is>
      </c>
      <c r="I89" s="18" t="inlineStr"/>
    </row>
    <row r="90">
      <c r="A90" s="17" t="inlineStr"/>
      <c r="B90" s="18" t="inlineStr">
        <is>
          <t>SL-14 | PVC Downpipe Elbow, 90°</t>
        </is>
      </c>
      <c r="C90" s="19" t="n">
        <v>12</v>
      </c>
      <c r="D90" s="17" t="inlineStr">
        <is>
          <t>calculated</t>
        </is>
      </c>
      <c r="E90" s="17" t="n"/>
      <c r="F90" s="17" t="n"/>
      <c r="G90" s="17" t="inlineStr">
        <is>
          <t>MEDIUM</t>
        </is>
      </c>
      <c r="H90" s="17" t="inlineStr">
        <is>
          <t>dxf_geometry</t>
        </is>
      </c>
      <c r="I90" s="18" t="inlineStr">
        <is>
          <t>top + bottom elbow per downpipe</t>
        </is>
      </c>
    </row>
    <row r="91">
      <c r="A91" s="17" t="inlineStr"/>
      <c r="B91" s="18" t="inlineStr">
        <is>
          <t>SL-14 | PVC Downpipe Clip</t>
        </is>
      </c>
      <c r="C91" s="19" t="n">
        <v>18</v>
      </c>
      <c r="D91" s="17" t="inlineStr">
        <is>
          <t>calculated</t>
        </is>
      </c>
      <c r="E91" s="17" t="n"/>
      <c r="F91" s="17" t="n"/>
      <c r="G91" s="17" t="inlineStr">
        <is>
          <t>MEDIUM</t>
        </is>
      </c>
      <c r="H91" s="17" t="inlineStr">
        <is>
          <t>dxf_geometry</t>
        </is>
      </c>
      <c r="I91" s="18" t="inlineStr">
        <is>
          <t>approx 3 clips per 3 m drop</t>
        </is>
      </c>
    </row>
    <row r="92" ht="18" customHeight="1">
      <c r="A92" s="30" t="inlineStr">
        <is>
          <t>50113 - External Cladding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</row>
    <row r="93">
      <c r="A93" s="38" t="inlineStr"/>
      <c r="B93" s="39" t="inlineStr">
        <is>
          <t>External Cladding | FC Weatherboard</t>
        </is>
      </c>
      <c r="C93" s="40" t="n">
        <v>77.51000000000001</v>
      </c>
      <c r="D93" s="38" t="inlineStr">
        <is>
          <t>calculated</t>
        </is>
      </c>
      <c r="E93" s="38" t="n"/>
      <c r="F93" s="38" t="n"/>
      <c r="G93" s="38" t="inlineStr">
        <is>
          <t>HIGH</t>
        </is>
      </c>
      <c r="H93" s="38" t="inlineStr">
        <is>
          <t>dxf_geometry</t>
        </is>
      </c>
      <c r="I93" s="39" t="inlineStr">
        <is>
          <t>Gross 92.16 m² − doors 1.877 m² [DOOR_90×1(0.920×2.04)] − windows 12.775 m² [WINDOW_LOUVRE_1100×8(1.080×1.20), WINDOW_LOUVRE_800×2(0.799×0.62), WINDOW_LOUVRE_1800×1(1.847×0.75)] (louvre h=0.75 m from config default) = net 77.51 m². Partition doors (&lt;0.85 m wide) excluded — not in external cladding face.</t>
        </is>
      </c>
    </row>
    <row r="94">
      <c r="A94" s="14" t="inlineStr"/>
      <c r="B94" s="15" t="inlineStr">
        <is>
          <t>External Cladding | FC Weatherboard (Board Count)</t>
        </is>
      </c>
      <c r="C94" s="16" t="n">
        <v>126</v>
      </c>
      <c r="D94" s="14" t="inlineStr">
        <is>
          <t>calculated</t>
        </is>
      </c>
      <c r="E94" s="14" t="n"/>
      <c r="F94" s="14" t="n"/>
      <c r="G94" s="14" t="inlineStr">
        <is>
          <t>MEDIUM</t>
        </is>
      </c>
      <c r="H94" s="14" t="inlineStr">
        <is>
          <t>dxf_geometry</t>
        </is>
      </c>
      <c r="I94" s="15" t="inlineStr">
        <is>
          <t>MANUAL REVIEW REQUIRED. Weatherboard: 200mm exposure, 4200mm stock length. Count includes 5% waste.  Verify board profile and lap from spec.</t>
        </is>
      </c>
    </row>
    <row r="95">
      <c r="A95" s="14" t="inlineStr"/>
      <c r="B95" s="15" t="inlineStr">
        <is>
          <t>External Cladding | FC Weatherboard (Supply lm)</t>
        </is>
      </c>
      <c r="C95" s="16" t="n">
        <v>529.2</v>
      </c>
      <c r="D95" s="14" t="inlineStr">
        <is>
          <t>calculated</t>
        </is>
      </c>
      <c r="E95" s="14" t="n"/>
      <c r="F95" s="14" t="n"/>
      <c r="G95" s="14" t="inlineStr">
        <is>
          <t>MEDIUM</t>
        </is>
      </c>
      <c r="H95" s="14" t="inlineStr">
        <is>
          <t>dxf_geometry</t>
        </is>
      </c>
      <c r="I95" s="15" t="inlineStr">
        <is>
          <t>MANUAL REVIEW REQUIRED. Total FC weatherboard supply in lineal metres. 126 boards × 4.2m stock length = 529.2 lm. Includes 5% waste. Verify board profile and lap detail with cladding specification.</t>
        </is>
      </c>
    </row>
    <row r="96">
      <c r="A96" s="38" t="inlineStr"/>
      <c r="B96" s="39" t="inlineStr">
        <is>
          <t>External Cladding | FC H-Joiner Extrusion</t>
        </is>
      </c>
      <c r="C96" s="40" t="n">
        <v>72</v>
      </c>
      <c r="D96" s="38" t="inlineStr">
        <is>
          <t>calculated</t>
        </is>
      </c>
      <c r="E96" s="38" t="n"/>
      <c r="F96" s="38" t="n"/>
      <c r="G96" s="38" t="inlineStr">
        <is>
          <t>MEDIUM</t>
        </is>
      </c>
      <c r="H96" s="38" t="inlineStr">
        <is>
          <t>dxf_geometry</t>
        </is>
      </c>
      <c r="I96" s="39" t="inlineStr">
        <is>
          <t>H-joiners per façade face (joiners at butt-joins only, not corners). Verify count from cladding layout.</t>
        </is>
      </c>
    </row>
    <row r="97">
      <c r="A97" s="38" t="inlineStr"/>
      <c r="B97" s="39" t="inlineStr">
        <is>
          <t>External Cladding | Corner Flashing, Galvanised</t>
        </is>
      </c>
      <c r="C97" s="40" t="n">
        <v>4</v>
      </c>
      <c r="D97" s="38" t="inlineStr">
        <is>
          <t>inferred</t>
        </is>
      </c>
      <c r="E97" s="38" t="n"/>
      <c r="F97" s="38" t="n"/>
      <c r="G97" s="38" t="inlineStr">
        <is>
          <t>MEDIUM</t>
        </is>
      </c>
      <c r="H97" s="38" t="inlineStr">
        <is>
          <t>dxf_geometry</t>
        </is>
      </c>
      <c r="I97" s="39" t="inlineStr">
        <is>
          <t>Corner count from building geometry (L=12.0m × W=7.2m rectangular = 4 corners). Verify against floor plan.</t>
        </is>
      </c>
    </row>
    <row r="98">
      <c r="A98" s="38" t="inlineStr"/>
      <c r="B98" s="39" t="inlineStr">
        <is>
          <t>External Cladding | Corner Trim / Angle Bead</t>
        </is>
      </c>
      <c r="C98" s="40" t="n">
        <v>9.6</v>
      </c>
      <c r="D98" s="38" t="inlineStr">
        <is>
          <t>calculated</t>
        </is>
      </c>
      <c r="E98" s="38" t="n"/>
      <c r="F98" s="38" t="n"/>
      <c r="G98" s="38" t="inlineStr">
        <is>
          <t>MEDIUM</t>
        </is>
      </c>
      <c r="H98" s="38" t="inlineStr">
        <is>
          <t>derived</t>
        </is>
      </c>
      <c r="I98" s="39" t="inlineStr">
        <is>
          <t>One trim per corner, full wall height. Verify profile and spec.</t>
        </is>
      </c>
    </row>
    <row r="99">
      <c r="A99" s="38" t="inlineStr"/>
      <c r="B99" s="39" t="inlineStr">
        <is>
          <t>External Cladding | FC Weatherboard Clip</t>
        </is>
      </c>
      <c r="C99" s="40" t="n">
        <v>768</v>
      </c>
      <c r="D99" s="38" t="inlineStr">
        <is>
          <t>calculated</t>
        </is>
      </c>
      <c r="E99" s="38" t="n"/>
      <c r="F99" s="38" t="n"/>
      <c r="G99" s="38" t="inlineStr">
        <is>
          <t>MEDIUM</t>
        </is>
      </c>
      <c r="H99" s="38" t="inlineStr">
        <is>
          <t>dxf_geometry</t>
        </is>
      </c>
      <c r="I99" s="39" t="inlineStr">
        <is>
          <t>Stud clips at 600mm centres. Verify clip type from manufacturer spec.</t>
        </is>
      </c>
    </row>
    <row r="100">
      <c r="A100" s="38" t="inlineStr"/>
      <c r="B100" s="39" t="inlineStr">
        <is>
          <t>Fixing | Stainless Steel Screw (Cladding)</t>
        </is>
      </c>
      <c r="C100" s="40" t="n">
        <v>1536</v>
      </c>
      <c r="D100" s="38" t="inlineStr">
        <is>
          <t>calculated</t>
        </is>
      </c>
      <c r="E100" s="38" t="n"/>
      <c r="F100" s="38" t="n"/>
      <c r="G100" s="38" t="inlineStr">
        <is>
          <t>LOW</t>
        </is>
      </c>
      <c r="H100" s="38" t="inlineStr">
        <is>
          <t>derived from clip count</t>
        </is>
      </c>
      <c r="I100" s="39" t="inlineStr">
        <is>
          <t>2 × stainless screws per fixing clip. Verify size and type from spec.</t>
        </is>
      </c>
    </row>
    <row r="101">
      <c r="A101" s="38" t="inlineStr"/>
      <c r="B101" s="39" t="inlineStr">
        <is>
          <t>Accessories | Building Wrap / Sarking</t>
        </is>
      </c>
      <c r="C101" s="40" t="n">
        <v>96.77</v>
      </c>
      <c r="D101" s="38" t="inlineStr">
        <is>
          <t>calculated</t>
        </is>
      </c>
      <c r="E101" s="38" t="n"/>
      <c r="F101" s="38" t="n"/>
      <c r="G101" s="38" t="inlineStr">
        <is>
          <t>MEDIUM</t>
        </is>
      </c>
      <c r="H101" s="38" t="inlineStr">
        <is>
          <t>dxf_geometry</t>
        </is>
      </c>
      <c r="I101" s="39" t="inlineStr">
        <is>
          <t>Includes 5% for laps. Gross area — no deduction for openings in sarking schedule.</t>
        </is>
      </c>
    </row>
    <row r="102">
      <c r="A102" s="38" t="inlineStr"/>
      <c r="B102" s="39" t="inlineStr">
        <is>
          <t>Accessories | Building Wrap / Sarking</t>
        </is>
      </c>
      <c r="C102" s="40" t="n">
        <v>1</v>
      </c>
      <c r="D102" s="38" t="inlineStr">
        <is>
          <t>calculated</t>
        </is>
      </c>
      <c r="E102" s="38" t="n"/>
      <c r="F102" s="38" t="n"/>
      <c r="G102" s="38" t="inlineStr">
        <is>
          <t>LOW</t>
        </is>
      </c>
      <c r="H102" s="38" t="inlineStr">
        <is>
          <t>derived from sarking_area=96.7</t>
        </is>
      </c>
      <c r="I102" s="39" t="inlineStr">
        <is>
          <t>Lap tape for building wrap horizontal and vertical overlaps. 1 roll per ~100 m².</t>
        </is>
      </c>
    </row>
    <row r="103">
      <c r="A103" s="38" t="inlineStr"/>
      <c r="B103" s="39" t="inlineStr">
        <is>
          <t>External Cladding | H-Joiner Strip</t>
        </is>
      </c>
      <c r="C103" s="40" t="n">
        <v>8</v>
      </c>
      <c r="D103" s="38" t="inlineStr">
        <is>
          <t>calculated</t>
        </is>
      </c>
      <c r="E103" s="38" t="n"/>
      <c r="F103" s="38" t="n"/>
      <c r="G103" s="38" t="inlineStr">
        <is>
          <t>LOW</t>
        </is>
      </c>
      <c r="H103" s="38" t="inlineStr">
        <is>
          <t>derived from h_joiner_count=72</t>
        </is>
      </c>
      <c r="I103" s="39" t="inlineStr">
        <is>
          <t>Polyurethane sealant at FC weatherboard H-joiner butt joins. 72 joiners ÷ 10 per tube = 8 tubes. Verify sealant colour match and compatibility with FC manufacturer spec.</t>
        </is>
      </c>
    </row>
    <row r="104">
      <c r="A104" s="14" t="inlineStr"/>
      <c r="B104" s="15" t="inlineStr">
        <is>
          <t>Window / Door Reveal Trim (FC / timber)</t>
        </is>
      </c>
      <c r="C104" s="16" t="n">
        <v>40.33</v>
      </c>
      <c r="D104" s="14" t="inlineStr">
        <is>
          <t>calculated</t>
        </is>
      </c>
      <c r="E104" s="14" t="n"/>
      <c r="F104" s="14" t="n"/>
      <c r="G104" s="14" t="inlineStr">
        <is>
          <t>MEDIUM</t>
        </is>
      </c>
      <c r="H104" s="14" t="inlineStr">
        <is>
          <t>dxf_geometry</t>
        </is>
      </c>
      <c r="I104" s="15" t="inlineStr">
        <is>
          <t>MANUAL REVIEW REQUIRED. Jamb / reveal trim at external cladding openings: 2 × height + 1 × width per opening. Louvre h=0.75 m (config default). Partition doors (&lt;0.85 m wide) excluded — they are in internal walls. Verify trim profile and dimensions with cladding specification.</t>
        </is>
      </c>
    </row>
    <row r="105">
      <c r="A105" s="38" t="inlineStr"/>
      <c r="B105" s="39" t="inlineStr">
        <is>
          <t>External Works | Verandah Decking</t>
        </is>
      </c>
      <c r="C105" s="40" t="n">
        <v>21.6</v>
      </c>
      <c r="D105" s="38" t="inlineStr">
        <is>
          <t>measured</t>
        </is>
      </c>
      <c r="E105" s="38" t="n"/>
      <c r="F105" s="38" t="n"/>
      <c r="G105" s="38" t="inlineStr">
        <is>
          <t>HIGH</t>
        </is>
      </c>
      <c r="H105" s="38" t="inlineStr">
        <is>
          <t>dxf_geometry</t>
        </is>
      </c>
      <c r="I105" s="39" t="inlineStr"/>
    </row>
    <row r="106">
      <c r="A106" s="14" t="inlineStr"/>
      <c r="B106" s="15" t="inlineStr">
        <is>
          <t>External Works | Verandah Decking (WPC Supply)</t>
        </is>
      </c>
      <c r="C106" s="16" t="n">
        <v>22.68</v>
      </c>
      <c r="D106" s="14" t="inlineStr">
        <is>
          <t>calculated</t>
        </is>
      </c>
      <c r="E106" s="14" t="n"/>
      <c r="F106" s="14" t="n"/>
      <c r="G106" s="14" t="inlineStr">
        <is>
          <t>HIGH</t>
        </is>
      </c>
      <c r="H106" s="14" t="inlineStr">
        <is>
          <t>dxf_geometry</t>
        </is>
      </c>
      <c r="I106" s="15" t="inlineStr">
        <is>
          <t>MANUAL REVIEW REQUIRED. WPC composite decking board supply area including 5% cut waste. Net area: 21.60 m². Supply (5% waste): 22.68 m². Verify decking board width, fixing centres and colour from specification. Confirm surface finish: WPC, hardwood, or concrete slab.</t>
        </is>
      </c>
    </row>
    <row r="107">
      <c r="A107" s="14" t="inlineStr"/>
      <c r="B107" s="15" t="inlineStr">
        <is>
          <t>External Works | Verandah Decking (Board Count)</t>
        </is>
      </c>
      <c r="C107" s="16" t="n">
        <v>45</v>
      </c>
      <c r="D107" s="14" t="inlineStr">
        <is>
          <t>calculated</t>
        </is>
      </c>
      <c r="E107" s="14" t="n"/>
      <c r="F107" s="14" t="n"/>
      <c r="G107" s="14" t="inlineStr">
        <is>
          <t>LOW</t>
        </is>
      </c>
      <c r="H107" s="14" t="inlineStr">
        <is>
          <t>dxf_geometry</t>
        </is>
      </c>
      <c r="I107" s="15" t="inlineStr">
        <is>
          <t>MANUAL REVIEW REQUIRED. Estimated WPC board count at 140mm nominal width, 3.6m stock length. 22.68 m² ÷ (0.14m × 3.6m) = 45 nr. LOW confidence — board size assumed. Verify from supplier/specification.</t>
        </is>
      </c>
    </row>
    <row r="108">
      <c r="A108" s="14" t="inlineStr"/>
      <c r="B108" s="15" t="inlineStr">
        <is>
          <t>Substructure | Site Preparation (Provisional)</t>
        </is>
      </c>
      <c r="C108" s="16" t="n">
        <v>0</v>
      </c>
      <c r="D108" s="14" t="inlineStr">
        <is>
          <t>placeholder</t>
        </is>
      </c>
      <c r="E108" s="14" t="n"/>
      <c r="F108" s="14" t="n"/>
      <c r="G108" s="14" t="inlineStr">
        <is>
          <t>LOW</t>
        </is>
      </c>
      <c r="H108" s="14" t="inlineStr">
        <is>
          <t>no site survey in sources</t>
        </is>
      </c>
      <c r="I108" s="15" t="inlineStr">
        <is>
          <t>MANUAL REVIEW REQUIRED. Site preparation scope cannot be derived from drawings. Confirm with engineer.</t>
        </is>
      </c>
    </row>
    <row r="109" ht="18" customHeight="1">
      <c r="A109" s="30" t="inlineStr">
        <is>
          <t>50114 - Openings</t>
        </is>
      </c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>
      <c r="A110" s="41" t="inlineStr"/>
      <c r="B110" s="42" t="inlineStr">
        <is>
          <t>Door | 920mm Wide (DOOR_90)</t>
        </is>
      </c>
      <c r="C110" s="43" t="n">
        <v>1</v>
      </c>
      <c r="D110" s="41" t="inlineStr">
        <is>
          <t>measured</t>
        </is>
      </c>
      <c r="E110" s="41" t="n"/>
      <c r="F110" s="41" t="n"/>
      <c r="G110" s="41" t="inlineStr">
        <is>
          <t>HIGH</t>
        </is>
      </c>
      <c r="H110" s="41" t="inlineStr">
        <is>
          <t>dxf_blocks</t>
        </is>
      </c>
      <c r="I110" s="42" t="inlineStr">
        <is>
          <t>swing=hinged</t>
        </is>
      </c>
    </row>
    <row r="111">
      <c r="A111" s="41" t="inlineStr"/>
      <c r="B111" s="42" t="inlineStr">
        <is>
          <t>Door | 820mm Wide (DOOR_82)</t>
        </is>
      </c>
      <c r="C111" s="43" t="n">
        <v>4</v>
      </c>
      <c r="D111" s="41" t="inlineStr">
        <is>
          <t>measured</t>
        </is>
      </c>
      <c r="E111" s="41" t="n"/>
      <c r="F111" s="41" t="n"/>
      <c r="G111" s="41" t="inlineStr">
        <is>
          <t>HIGH</t>
        </is>
      </c>
      <c r="H111" s="41" t="inlineStr">
        <is>
          <t>dxf_blocks</t>
        </is>
      </c>
      <c r="I111" s="42" t="inlineStr">
        <is>
          <t>swing=hinged</t>
        </is>
      </c>
    </row>
    <row r="112">
      <c r="A112" s="41" t="inlineStr"/>
      <c r="B112" s="42" t="inlineStr">
        <is>
          <t>Door | 720mm Wide (DOOR_72)</t>
        </is>
      </c>
      <c r="C112" s="43" t="n">
        <v>1</v>
      </c>
      <c r="D112" s="41" t="inlineStr">
        <is>
          <t>measured</t>
        </is>
      </c>
      <c r="E112" s="41" t="n"/>
      <c r="F112" s="41" t="n"/>
      <c r="G112" s="41" t="inlineStr">
        <is>
          <t>HIGH</t>
        </is>
      </c>
      <c r="H112" s="41" t="inlineStr">
        <is>
          <t>dxf_blocks</t>
        </is>
      </c>
      <c r="I112" s="42" t="inlineStr">
        <is>
          <t>swing=hinged</t>
        </is>
      </c>
    </row>
    <row r="113">
      <c r="A113" s="41" t="inlineStr"/>
      <c r="B113" s="42" t="inlineStr">
        <is>
          <t>Door — Total Count (all marks)</t>
        </is>
      </c>
      <c r="C113" s="43" t="n">
        <v>6</v>
      </c>
      <c r="D113" s="41" t="inlineStr">
        <is>
          <t>measured</t>
        </is>
      </c>
      <c r="E113" s="41" t="n"/>
      <c r="F113" s="41" t="n"/>
      <c r="G113" s="41" t="inlineStr">
        <is>
          <t>HIGH</t>
        </is>
      </c>
      <c r="H113" s="41" t="inlineStr">
        <is>
          <t>dxf_blocks</t>
        </is>
      </c>
      <c r="I113" s="42" t="inlineStr">
        <is>
          <t>Total doors across all marks: DOOR_90 (hinged) ×1, DOOR_82 (hinged) ×4, DOOR_72 (hinged) ×1 = 6 nr.</t>
        </is>
      </c>
    </row>
    <row r="114">
      <c r="A114" s="41" t="inlineStr"/>
      <c r="B114" s="42" t="inlineStr">
        <is>
          <t>Flashing | Door Head, Galvanised</t>
        </is>
      </c>
      <c r="C114" s="43" t="n">
        <v>5.52</v>
      </c>
      <c r="D114" s="41" t="inlineStr">
        <is>
          <t>calculated</t>
        </is>
      </c>
      <c r="E114" s="41" t="n"/>
      <c r="F114" s="41" t="n"/>
      <c r="G114" s="41" t="inlineStr">
        <is>
          <t>MEDIUM</t>
        </is>
      </c>
      <c r="H114" s="41" t="inlineStr">
        <is>
          <t>dxf_blocks</t>
        </is>
      </c>
      <c r="I114" s="42" t="inlineStr">
        <is>
          <t>Head flashing extends 50 mm beyond door frame each side.</t>
        </is>
      </c>
    </row>
    <row r="115">
      <c r="A115" s="14" t="inlineStr"/>
      <c r="B115" s="15" t="inlineStr">
        <is>
          <t>Flashing | Door Sill, Galvanised</t>
        </is>
      </c>
      <c r="C115" s="16" t="n">
        <v>1.02</v>
      </c>
      <c r="D115" s="14" t="inlineStr">
        <is>
          <t>calculated</t>
        </is>
      </c>
      <c r="E115" s="14" t="n"/>
      <c r="F115" s="14" t="n"/>
      <c r="G115" s="14" t="inlineStr">
        <is>
          <t>MEDIUM</t>
        </is>
      </c>
      <c r="H115" s="14" t="inlineStr">
        <is>
          <t>dxf_blocks</t>
        </is>
      </c>
      <c r="I115" s="15" t="inlineStr">
        <is>
          <t>MANUAL REVIEW REQUIRED. Sill flashing for external doors only (width ≥ 850mm threshold). Classified external: DOOR_90×1. Classified internal (no sill): DOOR_82×4, DOOR_72×1. Threshold is heuristic — verify from door schedule and architectural drawings.</t>
        </is>
      </c>
    </row>
    <row r="116">
      <c r="A116" s="41" t="inlineStr"/>
      <c r="B116" s="42" t="inlineStr">
        <is>
          <t>Door — Leaf Supply</t>
        </is>
      </c>
      <c r="C116" s="43" t="n">
        <v>1</v>
      </c>
      <c r="D116" s="41" t="inlineStr">
        <is>
          <t>calculated</t>
        </is>
      </c>
      <c r="E116" s="41" t="n"/>
      <c r="F116" s="41" t="n"/>
      <c r="G116" s="41" t="inlineStr">
        <is>
          <t>HIGH</t>
        </is>
      </c>
      <c r="H116" s="41" t="inlineStr">
        <is>
          <t>dxf_blocks</t>
        </is>
      </c>
      <c r="I116" s="42" t="inlineStr">
        <is>
          <t>opening_mark=DOOR_90</t>
        </is>
      </c>
    </row>
    <row r="117">
      <c r="A117" s="41" t="inlineStr"/>
      <c r="B117" s="42" t="inlineStr">
        <is>
          <t>Door — Frame Set</t>
        </is>
      </c>
      <c r="C117" s="43" t="n">
        <v>1</v>
      </c>
      <c r="D117" s="41" t="inlineStr">
        <is>
          <t>calculated</t>
        </is>
      </c>
      <c r="E117" s="41" t="n"/>
      <c r="F117" s="41" t="n"/>
      <c r="G117" s="41" t="inlineStr">
        <is>
          <t>HIGH</t>
        </is>
      </c>
      <c r="H117" s="41" t="inlineStr">
        <is>
          <t>dxf_blocks</t>
        </is>
      </c>
      <c r="I117" s="42" t="inlineStr">
        <is>
          <t>opening_mark=DOOR_90</t>
        </is>
      </c>
    </row>
    <row r="118">
      <c r="A118" s="41" t="inlineStr"/>
      <c r="B118" s="42" t="inlineStr">
        <is>
          <t>Door | Hinge (pair)</t>
        </is>
      </c>
      <c r="C118" s="43" t="n">
        <v>3</v>
      </c>
      <c r="D118" s="41" t="inlineStr">
        <is>
          <t>calculated</t>
        </is>
      </c>
      <c r="E118" s="41" t="n"/>
      <c r="F118" s="41" t="n"/>
      <c r="G118" s="41" t="inlineStr">
        <is>
          <t>MEDIUM</t>
        </is>
      </c>
      <c r="H118" s="41" t="inlineStr">
        <is>
          <t>dxf_blocks</t>
        </is>
      </c>
      <c r="I118" s="42" t="inlineStr">
        <is>
          <t>opening_mark=DOOR_90  3 pairs per door (standard)</t>
        </is>
      </c>
    </row>
    <row r="119">
      <c r="A119" s="41" t="inlineStr"/>
      <c r="B119" s="42" t="inlineStr">
        <is>
          <t>Door | Lockset</t>
        </is>
      </c>
      <c r="C119" s="43" t="n">
        <v>1</v>
      </c>
      <c r="D119" s="41" t="inlineStr">
        <is>
          <t>calculated</t>
        </is>
      </c>
      <c r="E119" s="41" t="n"/>
      <c r="F119" s="41" t="n"/>
      <c r="G119" s="41" t="inlineStr">
        <is>
          <t>HIGH</t>
        </is>
      </c>
      <c r="H119" s="41" t="inlineStr">
        <is>
          <t>dxf_blocks</t>
        </is>
      </c>
      <c r="I119" s="42" t="inlineStr">
        <is>
          <t>opening_mark=DOOR_90</t>
        </is>
      </c>
    </row>
    <row r="120">
      <c r="A120" s="41" t="inlineStr"/>
      <c r="B120" s="42" t="inlineStr">
        <is>
          <t>Door | Stop</t>
        </is>
      </c>
      <c r="C120" s="43" t="n">
        <v>1</v>
      </c>
      <c r="D120" s="41" t="inlineStr">
        <is>
          <t>calculated</t>
        </is>
      </c>
      <c r="E120" s="41" t="n"/>
      <c r="F120" s="41" t="n"/>
      <c r="G120" s="41" t="inlineStr">
        <is>
          <t>HIGH</t>
        </is>
      </c>
      <c r="H120" s="41" t="inlineStr">
        <is>
          <t>dxf_blocks</t>
        </is>
      </c>
      <c r="I120" s="42" t="inlineStr">
        <is>
          <t>opening_mark=DOOR_90</t>
        </is>
      </c>
    </row>
    <row r="121">
      <c r="A121" s="41" t="inlineStr"/>
      <c r="B121" s="42" t="inlineStr">
        <is>
          <t>Door — Leaf Supply</t>
        </is>
      </c>
      <c r="C121" s="43" t="n">
        <v>4</v>
      </c>
      <c r="D121" s="41" t="inlineStr">
        <is>
          <t>calculated</t>
        </is>
      </c>
      <c r="E121" s="41" t="n"/>
      <c r="F121" s="41" t="n"/>
      <c r="G121" s="41" t="inlineStr">
        <is>
          <t>HIGH</t>
        </is>
      </c>
      <c r="H121" s="41" t="inlineStr">
        <is>
          <t>dxf_blocks</t>
        </is>
      </c>
      <c r="I121" s="42" t="inlineStr">
        <is>
          <t>opening_mark=DOOR_82</t>
        </is>
      </c>
    </row>
    <row r="122">
      <c r="A122" s="41" t="inlineStr"/>
      <c r="B122" s="42" t="inlineStr">
        <is>
          <t>Door — Frame Set</t>
        </is>
      </c>
      <c r="C122" s="43" t="n">
        <v>4</v>
      </c>
      <c r="D122" s="41" t="inlineStr">
        <is>
          <t>calculated</t>
        </is>
      </c>
      <c r="E122" s="41" t="n"/>
      <c r="F122" s="41" t="n"/>
      <c r="G122" s="41" t="inlineStr">
        <is>
          <t>HIGH</t>
        </is>
      </c>
      <c r="H122" s="41" t="inlineStr">
        <is>
          <t>dxf_blocks</t>
        </is>
      </c>
      <c r="I122" s="42" t="inlineStr">
        <is>
          <t>opening_mark=DOOR_82</t>
        </is>
      </c>
    </row>
    <row r="123">
      <c r="A123" s="41" t="inlineStr"/>
      <c r="B123" s="42" t="inlineStr">
        <is>
          <t>Door | Hinge (pair)</t>
        </is>
      </c>
      <c r="C123" s="43" t="n">
        <v>12</v>
      </c>
      <c r="D123" s="41" t="inlineStr">
        <is>
          <t>calculated</t>
        </is>
      </c>
      <c r="E123" s="41" t="n"/>
      <c r="F123" s="41" t="n"/>
      <c r="G123" s="41" t="inlineStr">
        <is>
          <t>MEDIUM</t>
        </is>
      </c>
      <c r="H123" s="41" t="inlineStr">
        <is>
          <t>dxf_blocks</t>
        </is>
      </c>
      <c r="I123" s="42" t="inlineStr">
        <is>
          <t>opening_mark=DOOR_82  3 pairs per door (standard)</t>
        </is>
      </c>
    </row>
    <row r="124">
      <c r="A124" s="41" t="inlineStr"/>
      <c r="B124" s="42" t="inlineStr">
        <is>
          <t>Door | Lockset</t>
        </is>
      </c>
      <c r="C124" s="43" t="n">
        <v>4</v>
      </c>
      <c r="D124" s="41" t="inlineStr">
        <is>
          <t>calculated</t>
        </is>
      </c>
      <c r="E124" s="41" t="n"/>
      <c r="F124" s="41" t="n"/>
      <c r="G124" s="41" t="inlineStr">
        <is>
          <t>HIGH</t>
        </is>
      </c>
      <c r="H124" s="41" t="inlineStr">
        <is>
          <t>dxf_blocks</t>
        </is>
      </c>
      <c r="I124" s="42" t="inlineStr">
        <is>
          <t>opening_mark=DOOR_82</t>
        </is>
      </c>
    </row>
    <row r="125">
      <c r="A125" s="41" t="inlineStr"/>
      <c r="B125" s="42" t="inlineStr">
        <is>
          <t>Door | Stop</t>
        </is>
      </c>
      <c r="C125" s="43" t="n">
        <v>4</v>
      </c>
      <c r="D125" s="41" t="inlineStr">
        <is>
          <t>calculated</t>
        </is>
      </c>
      <c r="E125" s="41" t="n"/>
      <c r="F125" s="41" t="n"/>
      <c r="G125" s="41" t="inlineStr">
        <is>
          <t>HIGH</t>
        </is>
      </c>
      <c r="H125" s="41" t="inlineStr">
        <is>
          <t>dxf_blocks</t>
        </is>
      </c>
      <c r="I125" s="42" t="inlineStr">
        <is>
          <t>opening_mark=DOOR_82</t>
        </is>
      </c>
    </row>
    <row r="126">
      <c r="A126" s="41" t="inlineStr"/>
      <c r="B126" s="42" t="inlineStr">
        <is>
          <t>Door — Leaf Supply</t>
        </is>
      </c>
      <c r="C126" s="43" t="n">
        <v>1</v>
      </c>
      <c r="D126" s="41" t="inlineStr">
        <is>
          <t>calculated</t>
        </is>
      </c>
      <c r="E126" s="41" t="n"/>
      <c r="F126" s="41" t="n"/>
      <c r="G126" s="41" t="inlineStr">
        <is>
          <t>HIGH</t>
        </is>
      </c>
      <c r="H126" s="41" t="inlineStr">
        <is>
          <t>dxf_blocks</t>
        </is>
      </c>
      <c r="I126" s="42" t="inlineStr">
        <is>
          <t>opening_mark=DOOR_72</t>
        </is>
      </c>
    </row>
    <row r="127">
      <c r="A127" s="41" t="inlineStr"/>
      <c r="B127" s="42" t="inlineStr">
        <is>
          <t>Door — Frame Set</t>
        </is>
      </c>
      <c r="C127" s="43" t="n">
        <v>1</v>
      </c>
      <c r="D127" s="41" t="inlineStr">
        <is>
          <t>calculated</t>
        </is>
      </c>
      <c r="E127" s="41" t="n"/>
      <c r="F127" s="41" t="n"/>
      <c r="G127" s="41" t="inlineStr">
        <is>
          <t>HIGH</t>
        </is>
      </c>
      <c r="H127" s="41" t="inlineStr">
        <is>
          <t>dxf_blocks</t>
        </is>
      </c>
      <c r="I127" s="42" t="inlineStr">
        <is>
          <t>opening_mark=DOOR_72</t>
        </is>
      </c>
    </row>
    <row r="128">
      <c r="A128" s="41" t="inlineStr"/>
      <c r="B128" s="42" t="inlineStr">
        <is>
          <t>Door | Hinge (pair)</t>
        </is>
      </c>
      <c r="C128" s="43" t="n">
        <v>3</v>
      </c>
      <c r="D128" s="41" t="inlineStr">
        <is>
          <t>calculated</t>
        </is>
      </c>
      <c r="E128" s="41" t="n"/>
      <c r="F128" s="41" t="n"/>
      <c r="G128" s="41" t="inlineStr">
        <is>
          <t>MEDIUM</t>
        </is>
      </c>
      <c r="H128" s="41" t="inlineStr">
        <is>
          <t>dxf_blocks</t>
        </is>
      </c>
      <c r="I128" s="42" t="inlineStr">
        <is>
          <t>opening_mark=DOOR_72  3 pairs per door (standard)</t>
        </is>
      </c>
    </row>
    <row r="129">
      <c r="A129" s="41" t="inlineStr"/>
      <c r="B129" s="42" t="inlineStr">
        <is>
          <t>Door | Lockset</t>
        </is>
      </c>
      <c r="C129" s="43" t="n">
        <v>1</v>
      </c>
      <c r="D129" s="41" t="inlineStr">
        <is>
          <t>calculated</t>
        </is>
      </c>
      <c r="E129" s="41" t="n"/>
      <c r="F129" s="41" t="n"/>
      <c r="G129" s="41" t="inlineStr">
        <is>
          <t>HIGH</t>
        </is>
      </c>
      <c r="H129" s="41" t="inlineStr">
        <is>
          <t>dxf_blocks</t>
        </is>
      </c>
      <c r="I129" s="42" t="inlineStr">
        <is>
          <t>opening_mark=DOOR_72</t>
        </is>
      </c>
    </row>
    <row r="130">
      <c r="A130" s="41" t="inlineStr"/>
      <c r="B130" s="42" t="inlineStr">
        <is>
          <t>Door | Stop</t>
        </is>
      </c>
      <c r="C130" s="43" t="n">
        <v>1</v>
      </c>
      <c r="D130" s="41" t="inlineStr">
        <is>
          <t>calculated</t>
        </is>
      </c>
      <c r="E130" s="41" t="n"/>
      <c r="F130" s="41" t="n"/>
      <c r="G130" s="41" t="inlineStr">
        <is>
          <t>HIGH</t>
        </is>
      </c>
      <c r="H130" s="41" t="inlineStr">
        <is>
          <t>dxf_blocks</t>
        </is>
      </c>
      <c r="I130" s="42" t="inlineStr">
        <is>
          <t>opening_mark=DOOR_72</t>
        </is>
      </c>
    </row>
    <row r="131">
      <c r="A131" s="41" t="inlineStr"/>
      <c r="B131" s="42" t="inlineStr">
        <is>
          <t>Window | Louvre, 1100mm Wide</t>
        </is>
      </c>
      <c r="C131" s="43" t="n">
        <v>8</v>
      </c>
      <c r="D131" s="41" t="inlineStr">
        <is>
          <t>measured</t>
        </is>
      </c>
      <c r="E131" s="41" t="n"/>
      <c r="F131" s="41" t="n"/>
      <c r="G131" s="41" t="inlineStr">
        <is>
          <t>MEDIUM</t>
        </is>
      </c>
      <c r="H131" s="41" t="inlineStr">
        <is>
          <t>framecad_panel_label_ocr</t>
        </is>
      </c>
      <c r="I131" s="42" t="inlineStr">
        <is>
          <t>type=louvre</t>
        </is>
      </c>
    </row>
    <row r="132">
      <c r="A132" s="41" t="inlineStr"/>
      <c r="B132" s="42" t="inlineStr">
        <is>
          <t>Window | Louvre, 800mm Wide</t>
        </is>
      </c>
      <c r="C132" s="43" t="n">
        <v>2</v>
      </c>
      <c r="D132" s="41" t="inlineStr">
        <is>
          <t>measured</t>
        </is>
      </c>
      <c r="E132" s="41" t="n"/>
      <c r="F132" s="41" t="n"/>
      <c r="G132" s="41" t="inlineStr">
        <is>
          <t>MEDIUM</t>
        </is>
      </c>
      <c r="H132" s="41" t="inlineStr">
        <is>
          <t>framecad_panel_label_ocr</t>
        </is>
      </c>
      <c r="I132" s="42" t="inlineStr">
        <is>
          <t>type=louvre</t>
        </is>
      </c>
    </row>
    <row r="133">
      <c r="A133" s="41" t="inlineStr"/>
      <c r="B133" s="42" t="inlineStr">
        <is>
          <t>Window | Louvre, 1800mm Wide</t>
        </is>
      </c>
      <c r="C133" s="43" t="n">
        <v>1</v>
      </c>
      <c r="D133" s="41" t="inlineStr">
        <is>
          <t>measured</t>
        </is>
      </c>
      <c r="E133" s="41" t="n"/>
      <c r="F133" s="41" t="n"/>
      <c r="G133" s="41" t="inlineStr">
        <is>
          <t>MEDIUM</t>
        </is>
      </c>
      <c r="H133" s="41" t="inlineStr">
        <is>
          <t>dxf_blocks</t>
        </is>
      </c>
      <c r="I133" s="42" t="inlineStr">
        <is>
          <t>type=louvre</t>
        </is>
      </c>
    </row>
    <row r="134">
      <c r="A134" s="41" t="inlineStr"/>
      <c r="B134" s="42" t="inlineStr">
        <is>
          <t>Window — Total Count (all marks)</t>
        </is>
      </c>
      <c r="C134" s="43" t="n">
        <v>11</v>
      </c>
      <c r="D134" s="41" t="inlineStr">
        <is>
          <t>measured</t>
        </is>
      </c>
      <c r="E134" s="41" t="n"/>
      <c r="F134" s="41" t="n"/>
      <c r="G134" s="41" t="inlineStr">
        <is>
          <t>MEDIUM</t>
        </is>
      </c>
      <c r="H134" s="41" t="inlineStr">
        <is>
          <t>dxf_blocks</t>
        </is>
      </c>
      <c r="I134" s="42" t="inlineStr">
        <is>
          <t>Total windows across all marks: WINDOW_LOUVRE_1100 (louvre) ×8, WINDOW_LOUVRE_800 (louvre) ×2, WINDOW_LOUVRE_1800 (louvre) ×1 = 11 nr.</t>
        </is>
      </c>
    </row>
    <row r="135">
      <c r="A135" s="41" t="inlineStr"/>
      <c r="B135" s="42" t="inlineStr">
        <is>
          <t>Flashing | Window Head, Galvanised</t>
        </is>
      </c>
      <c r="C135" s="43" t="n">
        <v>9.44</v>
      </c>
      <c r="D135" s="41" t="inlineStr">
        <is>
          <t>calculated</t>
        </is>
      </c>
      <c r="E135" s="41" t="n"/>
      <c r="F135" s="41" t="n"/>
      <c r="G135" s="41" t="inlineStr">
        <is>
          <t>MEDIUM</t>
        </is>
      </c>
      <c r="H135" s="41" t="inlineStr">
        <is>
          <t>framecad_panel_label_ocr</t>
        </is>
      </c>
      <c r="I135" s="42" t="inlineStr">
        <is>
          <t>Head flashing extends 50 mm beyond frame each side.</t>
        </is>
      </c>
    </row>
    <row r="136">
      <c r="A136" s="41" t="inlineStr"/>
      <c r="B136" s="42" t="inlineStr">
        <is>
          <t>Flashing | Window Sill, Galvanised</t>
        </is>
      </c>
      <c r="C136" s="43" t="n">
        <v>9.44</v>
      </c>
      <c r="D136" s="41" t="inlineStr">
        <is>
          <t>calculated</t>
        </is>
      </c>
      <c r="E136" s="41" t="n"/>
      <c r="F136" s="41" t="n"/>
      <c r="G136" s="41" t="inlineStr">
        <is>
          <t>MEDIUM</t>
        </is>
      </c>
      <c r="H136" s="41" t="inlineStr">
        <is>
          <t>framecad_panel_label_ocr</t>
        </is>
      </c>
      <c r="I136" s="42" t="inlineStr">
        <is>
          <t>Sill flashing same lm as head flashing. Remove if window sits on masonry sill.</t>
        </is>
      </c>
    </row>
    <row r="137">
      <c r="A137" s="41" t="inlineStr"/>
      <c r="B137" s="42" t="inlineStr">
        <is>
          <t>Window | Louvre Blade, 1100mm Wide</t>
        </is>
      </c>
      <c r="C137" s="43" t="n">
        <v>104</v>
      </c>
      <c r="D137" s="41" t="inlineStr">
        <is>
          <t>calculated</t>
        </is>
      </c>
      <c r="E137" s="41" t="n"/>
      <c r="F137" s="41" t="n"/>
      <c r="G137" s="41" t="inlineStr">
        <is>
          <t>MEDIUM</t>
        </is>
      </c>
      <c r="H137" s="41" t="inlineStr">
        <is>
          <t>framecad_panel_label_ocr</t>
        </is>
      </c>
      <c r="I137" s="42" t="inlineStr">
        <is>
          <t>Frame height 1203 mm (from opening_schedule). 13 blades per frame at 100 mm pitch. Verify blade count and size from window schedule.</t>
        </is>
      </c>
    </row>
    <row r="138">
      <c r="A138" s="41" t="inlineStr"/>
      <c r="B138" s="42" t="inlineStr">
        <is>
          <t>Flashing | Window Head, Galvanised</t>
        </is>
      </c>
      <c r="C138" s="43" t="n">
        <v>1.8</v>
      </c>
      <c r="D138" s="41" t="inlineStr">
        <is>
          <t>calculated</t>
        </is>
      </c>
      <c r="E138" s="41" t="n"/>
      <c r="F138" s="41" t="n"/>
      <c r="G138" s="41" t="inlineStr">
        <is>
          <t>MEDIUM</t>
        </is>
      </c>
      <c r="H138" s="41" t="inlineStr">
        <is>
          <t>framecad_panel_label_ocr</t>
        </is>
      </c>
      <c r="I138" s="42" t="inlineStr">
        <is>
          <t>Head flashing extends 50 mm beyond frame each side.</t>
        </is>
      </c>
    </row>
    <row r="139">
      <c r="A139" s="41" t="inlineStr"/>
      <c r="B139" s="42" t="inlineStr">
        <is>
          <t>Flashing | Window Sill, Galvanised</t>
        </is>
      </c>
      <c r="C139" s="43" t="n">
        <v>1.8</v>
      </c>
      <c r="D139" s="41" t="inlineStr">
        <is>
          <t>calculated</t>
        </is>
      </c>
      <c r="E139" s="41" t="n"/>
      <c r="F139" s="41" t="n"/>
      <c r="G139" s="41" t="inlineStr">
        <is>
          <t>MEDIUM</t>
        </is>
      </c>
      <c r="H139" s="41" t="inlineStr">
        <is>
          <t>framecad_panel_label_ocr</t>
        </is>
      </c>
      <c r="I139" s="42" t="inlineStr">
        <is>
          <t>Sill flashing same lm as head flashing. Remove if window sits on masonry sill.</t>
        </is>
      </c>
    </row>
    <row r="140">
      <c r="A140" s="41" t="inlineStr"/>
      <c r="B140" s="42" t="inlineStr">
        <is>
          <t>Window | Louvre Blade, 800mm Wide</t>
        </is>
      </c>
      <c r="C140" s="43" t="n">
        <v>14</v>
      </c>
      <c r="D140" s="41" t="inlineStr">
        <is>
          <t>calculated</t>
        </is>
      </c>
      <c r="E140" s="41" t="n"/>
      <c r="F140" s="41" t="n"/>
      <c r="G140" s="41" t="inlineStr">
        <is>
          <t>MEDIUM</t>
        </is>
      </c>
      <c r="H140" s="41" t="inlineStr">
        <is>
          <t>framecad_panel_label_ocr</t>
        </is>
      </c>
      <c r="I140" s="42" t="inlineStr">
        <is>
          <t>Frame height 623 mm (from opening_schedule). 7 blades per frame at 100 mm pitch. Verify blade count and size from window schedule.</t>
        </is>
      </c>
    </row>
    <row r="141">
      <c r="A141" s="41" t="inlineStr"/>
      <c r="B141" s="42" t="inlineStr">
        <is>
          <t>Flashing | Window Head, Galvanised</t>
        </is>
      </c>
      <c r="C141" s="43" t="n">
        <v>1.95</v>
      </c>
      <c r="D141" s="41" t="inlineStr">
        <is>
          <t>calculated</t>
        </is>
      </c>
      <c r="E141" s="41" t="n"/>
      <c r="F141" s="41" t="n"/>
      <c r="G141" s="41" t="inlineStr">
        <is>
          <t>MEDIUM</t>
        </is>
      </c>
      <c r="H141" s="41" t="inlineStr">
        <is>
          <t>dxf_blocks</t>
        </is>
      </c>
      <c r="I141" s="42" t="inlineStr">
        <is>
          <t>Head flashing extends 50 mm beyond frame each side.</t>
        </is>
      </c>
    </row>
    <row r="142">
      <c r="A142" s="41" t="inlineStr"/>
      <c r="B142" s="42" t="inlineStr">
        <is>
          <t>Flashing | Window Sill, Galvanised</t>
        </is>
      </c>
      <c r="C142" s="43" t="n">
        <v>1.95</v>
      </c>
      <c r="D142" s="41" t="inlineStr">
        <is>
          <t>calculated</t>
        </is>
      </c>
      <c r="E142" s="41" t="n"/>
      <c r="F142" s="41" t="n"/>
      <c r="G142" s="41" t="inlineStr">
        <is>
          <t>MEDIUM</t>
        </is>
      </c>
      <c r="H142" s="41" t="inlineStr">
        <is>
          <t>dxf_blocks</t>
        </is>
      </c>
      <c r="I142" s="42" t="inlineStr">
        <is>
          <t>Sill flashing same lm as head flashing. Remove if window sits on masonry sill.</t>
        </is>
      </c>
    </row>
    <row r="143">
      <c r="A143" s="14" t="inlineStr"/>
      <c r="B143" s="15" t="inlineStr">
        <is>
          <t>Window | Louvre Blade, 1800mm Wide</t>
        </is>
      </c>
      <c r="C143" s="16" t="n">
        <v>8</v>
      </c>
      <c r="D143" s="14" t="inlineStr">
        <is>
          <t>calculated</t>
        </is>
      </c>
      <c r="E143" s="14" t="n"/>
      <c r="F143" s="14" t="n"/>
      <c r="G143" s="14" t="inlineStr">
        <is>
          <t>LOW</t>
        </is>
      </c>
      <c r="H143" s="14" t="inlineStr">
        <is>
          <t>dxf_blocks</t>
        </is>
      </c>
      <c r="I143" s="15" t="inlineStr">
        <is>
          <t>MANUAL REVIEW REQUIRED. BLOCKED PENDING WINDOW SCHEDULE: Window height not available in DXF block geometry or opening schedule for WINDOW_LOUVRE_1800. Using config default 750 mm → 8 blades per frame at 100 mm pitch. Blade count will change when window schedule is supplied. Verify frame height and blade quantity from window/door schedule.</t>
        </is>
      </c>
    </row>
    <row r="144">
      <c r="A144" s="41" t="inlineStr"/>
      <c r="B144" s="42" t="inlineStr">
        <is>
          <t>Window | Louvre Frame</t>
        </is>
      </c>
      <c r="C144" s="43" t="n">
        <v>8</v>
      </c>
      <c r="D144" s="41" t="inlineStr">
        <is>
          <t>calculated</t>
        </is>
      </c>
      <c r="E144" s="41" t="n"/>
      <c r="F144" s="41" t="n"/>
      <c r="G144" s="41" t="inlineStr">
        <is>
          <t>MEDIUM</t>
        </is>
      </c>
      <c r="H144" s="41" t="inlineStr">
        <is>
          <t>framecad_panel_label_ocr</t>
        </is>
      </c>
      <c r="I144" s="42" t="inlineStr">
        <is>
          <t>opening_mark=WINDOW_LOUVRE_1100</t>
        </is>
      </c>
    </row>
    <row r="145">
      <c r="A145" s="41" t="inlineStr"/>
      <c r="B145" s="42" t="inlineStr">
        <is>
          <t>Window | Louvre Blade</t>
        </is>
      </c>
      <c r="C145" s="43" t="n">
        <v>8</v>
      </c>
      <c r="D145" s="41" t="inlineStr">
        <is>
          <t>calculated</t>
        </is>
      </c>
      <c r="E145" s="41" t="n"/>
      <c r="F145" s="41" t="n"/>
      <c r="G145" s="41" t="inlineStr">
        <is>
          <t>MEDIUM</t>
        </is>
      </c>
      <c r="H145" s="41" t="inlineStr">
        <is>
          <t>framecad_panel_label_ocr</t>
        </is>
      </c>
      <c r="I145" s="42" t="inlineStr">
        <is>
          <t>opening_mark=WINDOW_LOUVRE_1100</t>
        </is>
      </c>
    </row>
    <row r="146">
      <c r="A146" s="41" t="inlineStr"/>
      <c r="B146" s="42" t="inlineStr">
        <is>
          <t>Window | Fly Screen</t>
        </is>
      </c>
      <c r="C146" s="43" t="n">
        <v>8</v>
      </c>
      <c r="D146" s="41" t="inlineStr">
        <is>
          <t>calculated</t>
        </is>
      </c>
      <c r="E146" s="41" t="n"/>
      <c r="F146" s="41" t="n"/>
      <c r="G146" s="41" t="inlineStr">
        <is>
          <t>MEDIUM</t>
        </is>
      </c>
      <c r="H146" s="41" t="inlineStr">
        <is>
          <t>framecad_panel_label_ocr</t>
        </is>
      </c>
      <c r="I146" s="42" t="inlineStr">
        <is>
          <t>opening_mark=WINDOW_LOUVRE_1100</t>
        </is>
      </c>
    </row>
    <row r="147">
      <c r="A147" s="41" t="inlineStr"/>
      <c r="B147" s="42" t="inlineStr">
        <is>
          <t>Window | Louvre Frame</t>
        </is>
      </c>
      <c r="C147" s="43" t="n">
        <v>2</v>
      </c>
      <c r="D147" s="41" t="inlineStr">
        <is>
          <t>calculated</t>
        </is>
      </c>
      <c r="E147" s="41" t="n"/>
      <c r="F147" s="41" t="n"/>
      <c r="G147" s="41" t="inlineStr">
        <is>
          <t>MEDIUM</t>
        </is>
      </c>
      <c r="H147" s="41" t="inlineStr">
        <is>
          <t>framecad_panel_label_ocr</t>
        </is>
      </c>
      <c r="I147" s="42" t="inlineStr">
        <is>
          <t>opening_mark=WINDOW_LOUVRE_800</t>
        </is>
      </c>
    </row>
    <row r="148">
      <c r="A148" s="41" t="inlineStr"/>
      <c r="B148" s="42" t="inlineStr">
        <is>
          <t>Window | Louvre Blade</t>
        </is>
      </c>
      <c r="C148" s="43" t="n">
        <v>2</v>
      </c>
      <c r="D148" s="41" t="inlineStr">
        <is>
          <t>calculated</t>
        </is>
      </c>
      <c r="E148" s="41" t="n"/>
      <c r="F148" s="41" t="n"/>
      <c r="G148" s="41" t="inlineStr">
        <is>
          <t>MEDIUM</t>
        </is>
      </c>
      <c r="H148" s="41" t="inlineStr">
        <is>
          <t>framecad_panel_label_ocr</t>
        </is>
      </c>
      <c r="I148" s="42" t="inlineStr">
        <is>
          <t>opening_mark=WINDOW_LOUVRE_800</t>
        </is>
      </c>
    </row>
    <row r="149">
      <c r="A149" s="41" t="inlineStr"/>
      <c r="B149" s="42" t="inlineStr">
        <is>
          <t>Window | Fly Screen</t>
        </is>
      </c>
      <c r="C149" s="43" t="n">
        <v>2</v>
      </c>
      <c r="D149" s="41" t="inlineStr">
        <is>
          <t>calculated</t>
        </is>
      </c>
      <c r="E149" s="41" t="n"/>
      <c r="F149" s="41" t="n"/>
      <c r="G149" s="41" t="inlineStr">
        <is>
          <t>MEDIUM</t>
        </is>
      </c>
      <c r="H149" s="41" t="inlineStr">
        <is>
          <t>framecad_panel_label_ocr</t>
        </is>
      </c>
      <c r="I149" s="42" t="inlineStr">
        <is>
          <t>opening_mark=WINDOW_LOUVRE_800</t>
        </is>
      </c>
    </row>
    <row r="150">
      <c r="A150" s="41" t="inlineStr"/>
      <c r="B150" s="42" t="inlineStr">
        <is>
          <t>Window | Louvre Frame</t>
        </is>
      </c>
      <c r="C150" s="43" t="n">
        <v>1</v>
      </c>
      <c r="D150" s="41" t="inlineStr">
        <is>
          <t>calculated</t>
        </is>
      </c>
      <c r="E150" s="41" t="n"/>
      <c r="F150" s="41" t="n"/>
      <c r="G150" s="41" t="inlineStr">
        <is>
          <t>MEDIUM</t>
        </is>
      </c>
      <c r="H150" s="41" t="inlineStr">
        <is>
          <t>dxf_blocks</t>
        </is>
      </c>
      <c r="I150" s="42" t="inlineStr">
        <is>
          <t>opening_mark=WINDOW_LOUVRE_1800</t>
        </is>
      </c>
    </row>
    <row r="151">
      <c r="A151" s="41" t="inlineStr"/>
      <c r="B151" s="42" t="inlineStr">
        <is>
          <t>Window | Louvre Blade</t>
        </is>
      </c>
      <c r="C151" s="43" t="n">
        <v>1</v>
      </c>
      <c r="D151" s="41" t="inlineStr">
        <is>
          <t>calculated</t>
        </is>
      </c>
      <c r="E151" s="41" t="n"/>
      <c r="F151" s="41" t="n"/>
      <c r="G151" s="41" t="inlineStr">
        <is>
          <t>MEDIUM</t>
        </is>
      </c>
      <c r="H151" s="41" t="inlineStr">
        <is>
          <t>dxf_blocks</t>
        </is>
      </c>
      <c r="I151" s="42" t="inlineStr">
        <is>
          <t>opening_mark=WINDOW_LOUVRE_1800</t>
        </is>
      </c>
    </row>
    <row r="152">
      <c r="A152" s="41" t="inlineStr"/>
      <c r="B152" s="42" t="inlineStr">
        <is>
          <t>Window | Fly Screen</t>
        </is>
      </c>
      <c r="C152" s="43" t="n">
        <v>1</v>
      </c>
      <c r="D152" s="41" t="inlineStr">
        <is>
          <t>calculated</t>
        </is>
      </c>
      <c r="E152" s="41" t="n"/>
      <c r="F152" s="41" t="n"/>
      <c r="G152" s="41" t="inlineStr">
        <is>
          <t>MEDIUM</t>
        </is>
      </c>
      <c r="H152" s="41" t="inlineStr">
        <is>
          <t>dxf_blocks</t>
        </is>
      </c>
      <c r="I152" s="42" t="inlineStr">
        <is>
          <t>opening_mark=WINDOW_LOUVRE_1800</t>
        </is>
      </c>
    </row>
    <row r="153">
      <c r="A153" s="41" t="inlineStr"/>
      <c r="B153" s="42" t="inlineStr">
        <is>
          <t>Door Frame — Total Family lm (all marks combined)</t>
        </is>
      </c>
      <c r="C153" s="43" t="n">
        <v>29.4</v>
      </c>
      <c r="D153" s="41" t="inlineStr">
        <is>
          <t>calculated</t>
        </is>
      </c>
      <c r="E153" s="41" t="n"/>
      <c r="F153" s="41" t="n"/>
      <c r="G153" s="41" t="inlineStr">
        <is>
          <t>MEDIUM</t>
        </is>
      </c>
      <c r="H153" s="41" t="inlineStr">
        <is>
          <t>dxf_blocks</t>
        </is>
      </c>
      <c r="I153" s="42" t="inlineStr">
        <is>
          <t>Total door frame perimeter for all 6 doors. Heights from DXF/schedule. Widths from DXF block names (HIGH). Use for frame section procurement across all door marks.</t>
        </is>
      </c>
    </row>
    <row r="154">
      <c r="A154" s="14" t="inlineStr"/>
      <c r="B154" s="15" t="inlineStr">
        <is>
          <t>Window | Louvre Frame, Total (lm)</t>
        </is>
      </c>
      <c r="C154" s="16" t="n">
        <v>35.33</v>
      </c>
      <c r="D154" s="14" t="inlineStr">
        <is>
          <t>calculated</t>
        </is>
      </c>
      <c r="E154" s="14" t="n"/>
      <c r="F154" s="14" t="n"/>
      <c r="G154" s="14" t="inlineStr">
        <is>
          <t>LOW</t>
        </is>
      </c>
      <c r="H154" s="14" t="inlineStr">
        <is>
          <t>dxf_blocks+framecad_labels</t>
        </is>
      </c>
      <c r="I154" s="15" t="inlineStr">
        <is>
          <t>MANUAL REVIEW REQUIRED. Total louvre window frame perimeter for all 11 windows. WINDOW_LOUVRE_1100 (h=1.203m) and WINDOW_LOUVRE_800 (h=0.623m): MEDIUM (FrameCAD label evidence). WINDOW_LOUVRE_1800 (h=0.750m): LOW (config default — height blocked). Widths from DXF block names. Use for frame section procurement across all window marks.</t>
        </is>
      </c>
    </row>
    <row r="155">
      <c r="A155" s="41" t="inlineStr"/>
      <c r="B155" s="42" t="inlineStr">
        <is>
          <t>Window | Fly Screen, 1100mm Wide</t>
        </is>
      </c>
      <c r="C155" s="43" t="n">
        <v>10.39</v>
      </c>
      <c r="D155" s="41" t="inlineStr">
        <is>
          <t>calculated</t>
        </is>
      </c>
      <c r="E155" s="41" t="n"/>
      <c r="F155" s="41" t="n"/>
      <c r="G155" s="41" t="inlineStr">
        <is>
          <t>MEDIUM</t>
        </is>
      </c>
      <c r="H155" s="41" t="inlineStr">
        <is>
          <t>framecad_panel_label_ocr</t>
        </is>
      </c>
      <c r="I155" s="42" t="inlineStr">
        <is>
          <t>Fly screen for louvre window WINDOW_LOUVRE_1100 (8 nr). Area: 1.08m × 1.203m = 1.299 m² each. Tropical building — all louvre openings require insect screening. Verify frame dimensions from window schedule.</t>
        </is>
      </c>
    </row>
    <row r="156">
      <c r="A156" s="41" t="inlineStr"/>
      <c r="B156" s="42" t="inlineStr">
        <is>
          <t>Window | Fly Screen, 800mm Wide</t>
        </is>
      </c>
      <c r="C156" s="43" t="n">
        <v>1</v>
      </c>
      <c r="D156" s="41" t="inlineStr">
        <is>
          <t>calculated</t>
        </is>
      </c>
      <c r="E156" s="41" t="n"/>
      <c r="F156" s="41" t="n"/>
      <c r="G156" s="41" t="inlineStr">
        <is>
          <t>MEDIUM</t>
        </is>
      </c>
      <c r="H156" s="41" t="inlineStr">
        <is>
          <t>framecad_panel_label_ocr</t>
        </is>
      </c>
      <c r="I156" s="42" t="inlineStr">
        <is>
          <t>Fly screen for louvre window WINDOW_LOUVRE_800 (2 nr). Area: 0.80m × 0.623m = 0.498 m² each. Tropical building — all louvre openings require insect screening. Verify frame dimensions from window schedule.</t>
        </is>
      </c>
    </row>
    <row r="157">
      <c r="A157" s="14" t="inlineStr"/>
      <c r="B157" s="15" t="inlineStr">
        <is>
          <t>Window | Fly Screen, 1800mm Wide</t>
        </is>
      </c>
      <c r="C157" s="16" t="n">
        <v>1.39</v>
      </c>
      <c r="D157" s="14" t="inlineStr">
        <is>
          <t>calculated</t>
        </is>
      </c>
      <c r="E157" s="14" t="n"/>
      <c r="F157" s="14" t="n"/>
      <c r="G157" s="14" t="inlineStr">
        <is>
          <t>LOW</t>
        </is>
      </c>
      <c r="H157" s="14" t="inlineStr">
        <is>
          <t>dxf_blocks</t>
        </is>
      </c>
      <c r="I157" s="15" t="inlineStr">
        <is>
          <t>MANUAL REVIEW REQUIRED. BLOCKED PENDING WINDOW SCHEDULE: Height not available in DXF for WINDOW_LOUVRE_1800 — using config default 0.750 m. Screen area 1.39 m² is a heuristic estimate. Screen area will change when window schedule is supplied. Tropical building — all louvre openings require insect screening.</t>
        </is>
      </c>
    </row>
    <row r="158">
      <c r="A158" s="14" t="inlineStr"/>
      <c r="B158" s="15" t="inlineStr">
        <is>
          <t>Door | Closer, Hydraulic</t>
        </is>
      </c>
      <c r="C158" s="16" t="n">
        <v>1</v>
      </c>
      <c r="D158" s="14" t="inlineStr">
        <is>
          <t>inferred</t>
        </is>
      </c>
      <c r="E158" s="14" t="n"/>
      <c r="F158" s="14" t="n"/>
      <c r="G158" s="14" t="inlineStr">
        <is>
          <t>MEDIUM</t>
        </is>
      </c>
      <c r="H158" s="14" t="inlineStr">
        <is>
          <t>dxf_blocks</t>
        </is>
      </c>
      <c r="I158" s="15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159">
      <c r="A159" s="41" t="inlineStr"/>
      <c r="B159" s="42" t="inlineStr">
        <is>
          <t>Timber Architrave | 12 x 75 x 2400mm Timber</t>
        </is>
      </c>
      <c r="C159" s="43" t="n">
        <v>36</v>
      </c>
      <c r="D159" s="41" t="inlineStr">
        <is>
          <t>calculated</t>
        </is>
      </c>
      <c r="E159" s="41" t="n"/>
      <c r="F159" s="41" t="n"/>
      <c r="G159" s="41" t="inlineStr">
        <is>
          <t>MEDIUM</t>
        </is>
      </c>
      <c r="H159" s="41" t="inlineStr">
        <is>
          <t>derived from door_count=6</t>
        </is>
      </c>
      <c r="I159" s="42" t="inlineStr"/>
    </row>
    <row r="160">
      <c r="A160" s="41" t="inlineStr"/>
      <c r="B160" s="42" t="inlineStr">
        <is>
          <t>Timber Architrave | 12 x 75 x 2400mm Timber</t>
        </is>
      </c>
      <c r="C160" s="43" t="n">
        <v>52.8</v>
      </c>
      <c r="D160" s="41" t="inlineStr">
        <is>
          <t>calculated</t>
        </is>
      </c>
      <c r="E160" s="41" t="n"/>
      <c r="F160" s="41" t="n"/>
      <c r="G160" s="41" t="inlineStr">
        <is>
          <t>MEDIUM</t>
        </is>
      </c>
      <c r="H160" s="41" t="inlineStr">
        <is>
          <t>derived from window_count=11</t>
        </is>
      </c>
      <c r="I160" s="42" t="inlineStr"/>
    </row>
    <row r="161" ht="18" customHeight="1">
      <c r="A161" s="30" t="inlineStr">
        <is>
          <t>50115 - Internal Linings &amp; Ceilings</t>
        </is>
      </c>
      <c r="B161" s="31" t="n"/>
      <c r="C161" s="31" t="n"/>
      <c r="D161" s="31" t="n"/>
      <c r="E161" s="31" t="n"/>
      <c r="F161" s="31" t="n"/>
      <c r="G161" s="31" t="n"/>
      <c r="H161" s="31" t="n"/>
      <c r="I161" s="31" t="n"/>
    </row>
    <row r="162">
      <c r="A162" s="20" t="inlineStr"/>
      <c r="B162" s="21" t="inlineStr">
        <is>
          <t>External Lining | FC Sheet, 6mm, 1200 x 2700mm</t>
        </is>
      </c>
      <c r="C162" s="22" t="n">
        <v>26</v>
      </c>
      <c r="D162" s="20" t="inlineStr">
        <is>
          <t>calculated</t>
        </is>
      </c>
      <c r="E162" s="20" t="n"/>
      <c r="F162" s="20" t="n"/>
      <c r="G162" s="20" t="inlineStr">
        <is>
          <t>MEDIUM</t>
        </is>
      </c>
      <c r="H162" s="20" t="inlineStr">
        <is>
          <t>dxf_geometry</t>
        </is>
      </c>
      <c r="I162" s="21" t="inlineStr">
        <is>
          <t>Opening deductions: doors=1.877 m² [DOOR_90×1(0.920×2.04)]; windows=12.775 m² [WINDOW_LOUVRE_1100×8(1.080×0.75), WINDOW_LOUVRE_800×2(0.799×0.75), WINDOW_LOUVRE_1800×1(1.847×0.75)] (louvre height=0.75 m from config default). Gross=92.16 m² − 14.652 m² = net=77.51 m².</t>
        </is>
      </c>
    </row>
    <row r="163">
      <c r="A163" s="20" t="inlineStr"/>
      <c r="B163" s="21" t="inlineStr">
        <is>
          <t>External Lining | FC Sheet, 6mm, 1200 x 2700mm</t>
        </is>
      </c>
      <c r="C163" s="22" t="n">
        <v>26</v>
      </c>
      <c r="D163" s="20" t="inlineStr">
        <is>
          <t>calculated</t>
        </is>
      </c>
      <c r="E163" s="20" t="n"/>
      <c r="F163" s="20" t="n"/>
      <c r="G163" s="20" t="inlineStr">
        <is>
          <t>MEDIUM</t>
        </is>
      </c>
      <c r="H163" s="20" t="inlineStr">
        <is>
          <t>dxf_geometry</t>
        </is>
      </c>
      <c r="I163" s="21" t="inlineStr">
        <is>
          <t>Gross external wall FC sheet supply area. Net wall area: 77.51m² × 1.05 waste = 81.39m². Rounded to 26 full sheets × 3.24m² = 84.24m². Use for bulk supply order alongside sheet count.</t>
        </is>
      </c>
    </row>
    <row r="164">
      <c r="A164" s="20" t="inlineStr"/>
      <c r="B164" s="21" t="inlineStr">
        <is>
          <t>Fixing | FC Sheet Screw (External)</t>
        </is>
      </c>
      <c r="C164" s="22" t="n">
        <v>10</v>
      </c>
      <c r="D164" s="20" t="inlineStr">
        <is>
          <t>calculated</t>
        </is>
      </c>
      <c r="E164" s="20" t="n"/>
      <c r="F164" s="20" t="n"/>
      <c r="G164" s="20" t="inlineStr">
        <is>
          <t>LOW</t>
        </is>
      </c>
      <c r="H164" s="20" t="inlineStr">
        <is>
          <t>derived from ext_wall_area_net</t>
        </is>
      </c>
      <c r="I164" s="21" t="inlineStr"/>
    </row>
    <row r="165">
      <c r="A165" s="20" t="inlineStr"/>
      <c r="B165" s="21" t="inlineStr">
        <is>
          <t>External Lining | FC Sheet Adhesive</t>
        </is>
      </c>
      <c r="C165" s="22" t="n">
        <v>32</v>
      </c>
      <c r="D165" s="20" t="inlineStr">
        <is>
          <t>calculated</t>
        </is>
      </c>
      <c r="E165" s="20" t="n"/>
      <c r="F165" s="20" t="n"/>
      <c r="G165" s="20" t="inlineStr">
        <is>
          <t>LOW</t>
        </is>
      </c>
      <c r="H165" s="20" t="inlineStr">
        <is>
          <t>derived from ext_wall_area_net</t>
        </is>
      </c>
      <c r="I165" s="21" t="inlineStr">
        <is>
          <t>Construction adhesive (e.g. Bostik or equivalent). 1 tube per ~2.5 m² of FC sheet.</t>
        </is>
      </c>
    </row>
    <row r="166">
      <c r="A166" s="20" t="inlineStr"/>
      <c r="B166" s="21" t="inlineStr">
        <is>
          <t>External Lining | PVC H Joiner</t>
        </is>
      </c>
      <c r="C166" s="22" t="n">
        <v>76.8</v>
      </c>
      <c r="D166" s="20" t="inlineStr">
        <is>
          <t>calculated</t>
        </is>
      </c>
      <c r="E166" s="20" t="n"/>
      <c r="F166" s="20" t="n"/>
      <c r="G166" s="20" t="inlineStr">
        <is>
          <t>MEDIUM</t>
        </is>
      </c>
      <c r="H166" s="20" t="inlineStr">
        <is>
          <t>dxf_geometry</t>
        </is>
      </c>
      <c r="I166" s="21" t="inlineStr">
        <is>
          <t>1 vertical joiner strip per 1.2m sheet-width run × 2.4m height on external wall face.</t>
        </is>
      </c>
    </row>
    <row r="167">
      <c r="A167" s="20" t="inlineStr"/>
      <c r="B167" s="21" t="inlineStr">
        <is>
          <t>Internal Lining | FC Sheet, 6mm, 1200 x 2700mm</t>
        </is>
      </c>
      <c r="C167" s="22" t="n">
        <v>41</v>
      </c>
      <c r="D167" s="20" t="inlineStr">
        <is>
          <t>calculated</t>
        </is>
      </c>
      <c r="E167" s="20" t="n"/>
      <c r="F167" s="20" t="n"/>
      <c r="G167" s="20" t="inlineStr">
        <is>
          <t>HIGH</t>
        </is>
      </c>
      <c r="H167" s="20" t="inlineStr">
        <is>
          <t>dxf_geometry</t>
        </is>
      </c>
      <c r="I167" s="21" t="inlineStr">
        <is>
          <t>Opening deductions (assumed-internal doors, both partition faces): 16.320 m² [DOOR_82×4×2f(0.820×2.04), DOOR_72×1×2f(0.720×2.04)]. Gross=141.12 m² − 16.320 m² = net=124.80 m². Doors classified as internal by width &lt; 0.85 m threshold. Measured from DXF WALLS layer: 8 internal wall runs.</t>
        </is>
      </c>
    </row>
    <row r="168">
      <c r="A168" s="20" t="inlineStr"/>
      <c r="B168" s="21" t="inlineStr">
        <is>
          <t>Internal Lining | FC Sheet, 6mm, 1200 x 2700mm</t>
        </is>
      </c>
      <c r="C168" s="22" t="n">
        <v>41</v>
      </c>
      <c r="D168" s="20" t="inlineStr">
        <is>
          <t>calculated</t>
        </is>
      </c>
      <c r="E168" s="20" t="n"/>
      <c r="F168" s="20" t="n"/>
      <c r="G168" s="20" t="inlineStr">
        <is>
          <t>HIGH</t>
        </is>
      </c>
      <c r="H168" s="20" t="inlineStr">
        <is>
          <t>dxf_geometry</t>
        </is>
      </c>
      <c r="I168" s="21" t="inlineStr">
        <is>
          <t>Gross internal wall FC sheet supply area (both partition faces). Net area: 124.80m² × 1.05 waste = 131.04m². Rounded to 41 full sheets × 3.24m² = 132.84m². Use for bulk supply order alongside sheet count.</t>
        </is>
      </c>
    </row>
    <row r="169">
      <c r="A169" s="20" t="inlineStr"/>
      <c r="B169" s="21" t="inlineStr">
        <is>
          <t>Fixing | FC Sheet Screw (Internal)</t>
        </is>
      </c>
      <c r="C169" s="22" t="n">
        <v>16</v>
      </c>
      <c r="D169" s="20" t="inlineStr">
        <is>
          <t>calculated</t>
        </is>
      </c>
      <c r="E169" s="20" t="n"/>
      <c r="F169" s="20" t="n"/>
      <c r="G169" s="20" t="inlineStr">
        <is>
          <t>LOW</t>
        </is>
      </c>
      <c r="H169" s="20" t="inlineStr">
        <is>
          <t>derived from int_wall_area_bot</t>
        </is>
      </c>
      <c r="I169" s="21" t="inlineStr">
        <is>
          <t>Opening deductions (assumed-internal doors, both partition faces): 16.320 m² [DOOR_82×4×2f(0.820×2.04), DOOR_72×1×2f(0.720×2.04)]. Gross=141.12 m² − 16.320 m² = net=124.80 m². Doors classified as internal by width &lt; 0.85 m threshold. Measured from DXF WALLS layer: 8 internal wall runs.</t>
        </is>
      </c>
    </row>
    <row r="170">
      <c r="A170" s="20" t="inlineStr"/>
      <c r="B170" s="21" t="inlineStr">
        <is>
          <t>Internal Lining | FC Sheet Adhesive</t>
        </is>
      </c>
      <c r="C170" s="22" t="n">
        <v>50</v>
      </c>
      <c r="D170" s="20" t="inlineStr">
        <is>
          <t>calculated</t>
        </is>
      </c>
      <c r="E170" s="20" t="n"/>
      <c r="F170" s="20" t="n"/>
      <c r="G170" s="20" t="inlineStr">
        <is>
          <t>LOW</t>
        </is>
      </c>
      <c r="H170" s="20" t="inlineStr">
        <is>
          <t>derived from int_wall_area_bot</t>
        </is>
      </c>
      <c r="I170" s="21" t="inlineStr">
        <is>
          <t>Construction adhesive for FC sheet to stud/batten. 1 tube per ~2.5 m².</t>
        </is>
      </c>
    </row>
    <row r="171">
      <c r="A171" s="20" t="inlineStr"/>
      <c r="B171" s="21" t="inlineStr">
        <is>
          <t>Internal Lining Accessory | PVC H Joiner</t>
        </is>
      </c>
      <c r="C171" s="22" t="n">
        <v>117.6</v>
      </c>
      <c r="D171" s="20" t="inlineStr">
        <is>
          <t>calculated</t>
        </is>
      </c>
      <c r="E171" s="20" t="n"/>
      <c r="F171" s="20" t="n"/>
      <c r="G171" s="20" t="inlineStr">
        <is>
          <t>LOW</t>
        </is>
      </c>
      <c r="H171" s="20" t="inlineStr">
        <is>
          <t>dxf_geometry</t>
        </is>
      </c>
      <c r="I171" s="21" t="inlineStr">
        <is>
          <t>1 vertical joiner strip per 1.2 m sheet-width run × 2.4 m height.</t>
        </is>
      </c>
    </row>
    <row r="172">
      <c r="A172" s="14" t="inlineStr"/>
      <c r="B172" s="15" t="inlineStr">
        <is>
          <t>Internal Lining | Waterproof Board / FC, Wet Area</t>
        </is>
      </c>
      <c r="C172" s="16" t="n">
        <v>7</v>
      </c>
      <c r="D172" s="14" t="inlineStr">
        <is>
          <t>inferred</t>
        </is>
      </c>
      <c r="E172" s="14" t="n"/>
      <c r="F172" s="14" t="n"/>
      <c r="G172" s="14" t="inlineStr">
        <is>
          <t>LOW</t>
        </is>
      </c>
      <c r="H172" s="14" t="inlineStr">
        <is>
          <t>spaces=['Toilet']</t>
        </is>
      </c>
      <c r="I172" s="15" t="inlineStr">
        <is>
          <t>MANUAL REVIEW REQUIRED. Wet area lining: wall area = perimeter × wall height. perimeter from project_config (LOW — config-specified, not measured from drawings). Verify room perimeter against wet area schedule. Verify count against wet area wall schedule.</t>
        </is>
      </c>
    </row>
    <row r="173">
      <c r="A173" s="14" t="inlineStr"/>
      <c r="B173" s="15" t="inlineStr">
        <is>
          <t>Internal Lining | Wet Area Board, Total Area (m²)</t>
        </is>
      </c>
      <c r="C173" s="16" t="n">
        <v>7</v>
      </c>
      <c r="D173" s="14" t="inlineStr">
        <is>
          <t>inferred</t>
        </is>
      </c>
      <c r="E173" s="14" t="n"/>
      <c r="F173" s="14" t="n"/>
      <c r="G173" s="14" t="inlineStr">
        <is>
          <t>LOW</t>
        </is>
      </c>
      <c r="H173" s="14" t="inlineStr">
        <is>
          <t>spaces=['Toilet']</t>
        </is>
      </c>
      <c r="I173" s="15" t="inlineStr">
        <is>
          <t>MANUAL REVIEW REQUIRED. Gross wet area FC/waterproof board supply area. Wall area: 19.68m² × 1.05 waste = 20.66m². Rounded to 7 full sheets × 3.24m² = 22.68m². Verify from wet area wall schedule. Match sheet spec to waterproofing system.</t>
        </is>
      </c>
    </row>
    <row r="174">
      <c r="A174" s="14" t="inlineStr"/>
      <c r="B174" s="15" t="inlineStr">
        <is>
          <t>Wet Area Tile Adhesive (20kg bag)</t>
        </is>
      </c>
      <c r="C174" s="16" t="n">
        <v>5</v>
      </c>
      <c r="D174" s="14" t="inlineStr">
        <is>
          <t>calculated</t>
        </is>
      </c>
      <c r="E174" s="14" t="n"/>
      <c r="F174" s="14" t="n"/>
      <c r="G174" s="14" t="inlineStr">
        <is>
          <t>LOW</t>
        </is>
      </c>
      <c r="H174" s="14" t="inlineStr">
        <is>
          <t>spaces=['Toilet']</t>
        </is>
      </c>
      <c r="I174" s="15" t="inlineStr">
        <is>
          <t>MANUAL REVIEW REQUIRED. 20kg bag of tile adhesive ≈ 4 m² coverage. Verify spec with tiler.</t>
        </is>
      </c>
    </row>
    <row r="175">
      <c r="A175" s="14" t="inlineStr"/>
      <c r="B175" s="15" t="inlineStr">
        <is>
          <t>Wet Area Wall Tile Grout (3kg bag)</t>
        </is>
      </c>
      <c r="C175" s="16" t="n">
        <v>4</v>
      </c>
      <c r="D175" s="14" t="inlineStr">
        <is>
          <t>calculated</t>
        </is>
      </c>
      <c r="E175" s="14" t="n"/>
      <c r="F175" s="14" t="n"/>
      <c r="G175" s="14" t="inlineStr">
        <is>
          <t>LOW</t>
        </is>
      </c>
      <c r="H175" s="14" t="inlineStr">
        <is>
          <t>spaces=['Toilet']</t>
        </is>
      </c>
      <c r="I175" s="15" t="inlineStr">
        <is>
          <t>MANUAL REVIEW REQUIRED. 3kg bag of grout ≈ 6 m² wall tile coverage. Adjust for tile size and joint width.</t>
        </is>
      </c>
    </row>
    <row r="176">
      <c r="A176" s="14" t="inlineStr"/>
      <c r="B176" s="15" t="inlineStr">
        <is>
          <t>Wet Area Waterproof Membrane (floor + upstand)</t>
        </is>
      </c>
      <c r="C176" s="16" t="n">
        <v>6.14</v>
      </c>
      <c r="D176" s="14" t="inlineStr">
        <is>
          <t>inferred</t>
        </is>
      </c>
      <c r="E176" s="14" t="n"/>
      <c r="F176" s="14" t="n"/>
      <c r="G176" s="14" t="inlineStr">
        <is>
          <t>LOW</t>
        </is>
      </c>
      <c r="H176" s="14" t="inlineStr">
        <is>
          <t>spaces=['Toilet']</t>
        </is>
      </c>
      <c r="I176" s="15" t="inlineStr">
        <is>
          <t>MANUAL REVIEW REQUIRED. Waterproof membrane: floor area + ~200mm wall upstand. Verify method (liquid-applied vs sheet) from hydraulic engineer.</t>
        </is>
      </c>
    </row>
    <row r="177">
      <c r="A177" s="20" t="inlineStr"/>
      <c r="B177" s="21" t="inlineStr">
        <is>
          <t>Ceiling Lining | FC Sheet, 6mm, 1200 x 2400mm</t>
        </is>
      </c>
      <c r="C177" s="22" t="n">
        <v>18</v>
      </c>
      <c r="D177" s="20" t="inlineStr">
        <is>
          <t>calculated</t>
        </is>
      </c>
      <c r="E177" s="20" t="n"/>
      <c r="F177" s="20" t="n"/>
      <c r="G177" s="20" t="inlineStr">
        <is>
          <t>HIGH</t>
        </is>
      </c>
      <c r="H177" s="20" t="inlineStr">
        <is>
          <t>dxf_geometry</t>
        </is>
      </c>
      <c r="I177" s="21" t="inlineStr"/>
    </row>
    <row r="178">
      <c r="A178" s="20" t="inlineStr"/>
      <c r="B178" s="21" t="inlineStr">
        <is>
          <t>Ceiling Batten | G22</t>
        </is>
      </c>
      <c r="C178" s="22" t="n">
        <v>122.5</v>
      </c>
      <c r="D178" s="20" t="inlineStr">
        <is>
          <t>calculated</t>
        </is>
      </c>
      <c r="E178" s="20" t="n"/>
      <c r="F178" s="20" t="n"/>
      <c r="G178" s="20" t="inlineStr">
        <is>
          <t>MEDIUM</t>
        </is>
      </c>
      <c r="H178" s="20" t="inlineStr">
        <is>
          <t>dxf_geometry</t>
        </is>
      </c>
      <c r="I178" s="21" t="inlineStr"/>
    </row>
    <row r="179">
      <c r="A179" s="20" t="inlineStr"/>
      <c r="B179" s="21" t="inlineStr">
        <is>
          <t>Fixing | FC Sheet Screw (Ceiling)</t>
        </is>
      </c>
      <c r="C179" s="22" t="n">
        <v>5</v>
      </c>
      <c r="D179" s="20" t="inlineStr">
        <is>
          <t>calculated</t>
        </is>
      </c>
      <c r="E179" s="20" t="n"/>
      <c r="F179" s="20" t="n"/>
      <c r="G179" s="20" t="inlineStr">
        <is>
          <t>LOW</t>
        </is>
      </c>
      <c r="H179" s="20" t="inlineStr">
        <is>
          <t>derived from ceiling_area=49.0</t>
        </is>
      </c>
      <c r="I179" s="21" t="inlineStr"/>
    </row>
    <row r="180">
      <c r="A180" s="20" t="inlineStr"/>
      <c r="B180" s="21" t="inlineStr">
        <is>
          <t>Ceiling Lining | FC Sheet Adhesive</t>
        </is>
      </c>
      <c r="C180" s="22" t="n">
        <v>17</v>
      </c>
      <c r="D180" s="20" t="inlineStr">
        <is>
          <t>calculated</t>
        </is>
      </c>
      <c r="E180" s="20" t="n"/>
      <c r="F180" s="20" t="n"/>
      <c r="G180" s="20" t="inlineStr">
        <is>
          <t>LOW</t>
        </is>
      </c>
      <c r="H180" s="20" t="inlineStr">
        <is>
          <t>derived from ceiling_area=49.0</t>
        </is>
      </c>
      <c r="I180" s="21" t="inlineStr">
        <is>
          <t>Construction adhesive for ceiling FC sheet. 1 tube per ~3 m².</t>
        </is>
      </c>
    </row>
    <row r="181">
      <c r="A181" s="20" t="inlineStr"/>
      <c r="B181" s="21" t="inlineStr">
        <is>
          <t>Verandah Soffit Lining — FC Sheet (6mm, 1200×2400)</t>
        </is>
      </c>
      <c r="C181" s="22" t="n">
        <v>8</v>
      </c>
      <c r="D181" s="20" t="inlineStr">
        <is>
          <t>calculated</t>
        </is>
      </c>
      <c r="E181" s="20" t="n"/>
      <c r="F181" s="20" t="n"/>
      <c r="G181" s="20" t="inlineStr">
        <is>
          <t>HIGH</t>
        </is>
      </c>
      <c r="H181" s="20" t="inlineStr">
        <is>
          <t>dxf_geometry</t>
        </is>
      </c>
      <c r="I181" s="21" t="inlineStr">
        <is>
          <t>Verandah soffit lining: 21.60 m² from DXF verandah polygon. Soffit area treated equal to verandah floor area. Verify from architectural drawings.</t>
        </is>
      </c>
    </row>
    <row r="182">
      <c r="A182" s="20" t="inlineStr"/>
      <c r="B182" s="21" t="inlineStr">
        <is>
          <t>Verandah Soffit Batten (LGS / timber)</t>
        </is>
      </c>
      <c r="C182" s="22" t="n">
        <v>54</v>
      </c>
      <c r="D182" s="20" t="inlineStr">
        <is>
          <t>calculated</t>
        </is>
      </c>
      <c r="E182" s="20" t="n"/>
      <c r="F182" s="20" t="n"/>
      <c r="G182" s="20" t="inlineStr">
        <is>
          <t>MEDIUM</t>
        </is>
      </c>
      <c r="H182" s="20" t="inlineStr">
        <is>
          <t>dxf_geometry</t>
        </is>
      </c>
      <c r="I182" s="21" t="inlineStr">
        <is>
          <t>Verandah soffit batten: 21.60 m² at 400 mm spacing = 54.0 lm.</t>
        </is>
      </c>
    </row>
    <row r="183">
      <c r="A183" s="20" t="inlineStr"/>
      <c r="B183" s="21" t="inlineStr">
        <is>
          <t>FC Ceiling Sheet — Total Supply (ceiling + soffit)</t>
        </is>
      </c>
      <c r="C183" s="22" t="n">
        <v>26</v>
      </c>
      <c r="D183" s="20" t="inlineStr">
        <is>
          <t>calculated</t>
        </is>
      </c>
      <c r="E183" s="20" t="n"/>
      <c r="F183" s="20" t="n"/>
      <c r="G183" s="20" t="inlineStr">
        <is>
          <t>MEDIUM</t>
        </is>
      </c>
      <c r="H183" s="20" t="inlineStr">
        <is>
          <t>derived</t>
        </is>
      </c>
      <c r="I183" s="21" t="inlineStr">
        <is>
          <t>Combined ceiling FC sheet procurement total (ceiling zone + verandah soffit). 26 sheets × 2.88m² (1200×2400mm) = 74.88m² gross. Individual zone counts (E13, E17) remain for installation trade breakdown.</t>
        </is>
      </c>
    </row>
    <row r="184">
      <c r="A184" s="20" t="inlineStr"/>
      <c r="B184" s="21" t="inlineStr">
        <is>
          <t>Timber Cornice | 25 x 25 x 2400mm Timber</t>
        </is>
      </c>
      <c r="C184" s="22" t="n">
        <v>38.4</v>
      </c>
      <c r="D184" s="20" t="inlineStr">
        <is>
          <t>calculated</t>
        </is>
      </c>
      <c r="E184" s="20" t="n"/>
      <c r="F184" s="20" t="n"/>
      <c r="G184" s="20" t="inlineStr">
        <is>
          <t>MEDIUM</t>
        </is>
      </c>
      <c r="H184" s="20" t="inlineStr">
        <is>
          <t>dxf_geometry</t>
        </is>
      </c>
      <c r="I184" s="21" t="inlineStr">
        <is>
          <t>Assumes cornice on external walls only. Add int_wall_lm if cornice on internal walls too.</t>
        </is>
      </c>
    </row>
    <row r="185">
      <c r="A185" s="14" t="inlineStr"/>
      <c r="B185" s="15" t="inlineStr">
        <is>
          <t>Timber Cornice | End Cap / Mitre Set</t>
        </is>
      </c>
      <c r="C185" s="16" t="n">
        <v>4</v>
      </c>
      <c r="D185" s="14" t="inlineStr">
        <is>
          <t>inferred</t>
        </is>
      </c>
      <c r="E185" s="14" t="n"/>
      <c r="F185" s="14" t="n"/>
      <c r="G185" s="14" t="inlineStr">
        <is>
          <t>LOW</t>
        </is>
      </c>
      <c r="H185" s="14" t="inlineStr">
        <is>
          <t>dxf_geometry</t>
        </is>
      </c>
      <c r="I185" s="15" t="inlineStr">
        <is>
          <t>MANUAL REVIEW REQUIRED. 4 internal corner mitre sets assumed for rectangular plan. Adjust if non-rectangular or if external cornice returns required. Verify with cornice supplier.</t>
        </is>
      </c>
    </row>
    <row r="186">
      <c r="A186" s="20" t="inlineStr"/>
      <c r="B186" s="21" t="inlineStr">
        <is>
          <t>FC Sheet — Total Supply (all lining zones combined)</t>
        </is>
      </c>
      <c r="C186" s="22" t="n">
        <v>93</v>
      </c>
      <c r="D186" s="20" t="inlineStr">
        <is>
          <t>calculated</t>
        </is>
      </c>
      <c r="E186" s="20" t="n"/>
      <c r="F186" s="20" t="n"/>
      <c r="G186" s="20" t="inlineStr">
        <is>
          <t>MEDIUM</t>
        </is>
      </c>
      <c r="H186" s="20" t="inlineStr">
        <is>
          <t>derived</t>
        </is>
      </c>
      <c r="I186" s="21" t="inlineStr">
        <is>
          <t>Primary FC sheet procurement family total. Sum of: external wall, internal wall, wet area lining, ceiling, verandah soffit. Use for bulk sheet supply order. Individual zone counts remain for installation breakdown.</t>
        </is>
      </c>
    </row>
    <row r="187" ht="18" customHeight="1">
      <c r="A187" s="30" t="inlineStr">
        <is>
          <t>50117 - Services (Hydraulics — Partial)</t>
        </is>
      </c>
      <c r="B187" s="31" t="n"/>
      <c r="C187" s="31" t="n"/>
      <c r="D187" s="31" t="n"/>
      <c r="E187" s="31" t="n"/>
      <c r="F187" s="31" t="n"/>
      <c r="G187" s="31" t="n"/>
      <c r="H187" s="31" t="n"/>
      <c r="I187" s="31" t="n"/>
    </row>
    <row r="188">
      <c r="A188" s="14" t="inlineStr"/>
      <c r="B188" s="15" t="inlineStr">
        <is>
          <t>Hand Basin — Supply &amp; Fix</t>
        </is>
      </c>
      <c r="C188" s="16" t="n">
        <v>1</v>
      </c>
      <c r="D188" s="14" t="inlineStr">
        <is>
          <t>inferred</t>
        </is>
      </c>
      <c r="E188" s="14" t="n"/>
      <c r="F188" s="14" t="n"/>
      <c r="G188" s="14" t="inlineStr">
        <is>
          <t>LOW</t>
        </is>
      </c>
      <c r="H188" s="14" t="inlineStr">
        <is>
          <t>room_schedule</t>
        </is>
      </c>
      <c r="I188" s="15" t="inlineStr">
        <is>
          <t>MANUAL REVIEW REQUIRED. Inferred from room type 'pharmacy'.</t>
        </is>
      </c>
    </row>
    <row r="189">
      <c r="A189" s="14" t="inlineStr"/>
      <c r="B189" s="15" t="inlineStr">
        <is>
          <t>Tapware — Supply &amp; Fix</t>
        </is>
      </c>
      <c r="C189" s="16" t="n">
        <v>1</v>
      </c>
      <c r="D189" s="14" t="inlineStr">
        <is>
          <t>inferred</t>
        </is>
      </c>
      <c r="E189" s="14" t="n"/>
      <c r="F189" s="14" t="n"/>
      <c r="G189" s="14" t="inlineStr">
        <is>
          <t>LOW</t>
        </is>
      </c>
      <c r="H189" s="14" t="inlineStr">
        <is>
          <t>room_schedule</t>
        </is>
      </c>
      <c r="I189" s="15" t="inlineStr">
        <is>
          <t>MANUAL REVIEW REQUIRED. Inferred from room type 'pharmacy'.</t>
        </is>
      </c>
    </row>
    <row r="190">
      <c r="A190" s="14" t="inlineStr"/>
      <c r="B190" s="15" t="inlineStr">
        <is>
          <t>Services | Cold Room / Refrigeration (PLACEHOLDER)</t>
        </is>
      </c>
      <c r="C190" s="16" t="n">
        <v>1</v>
      </c>
      <c r="D190" s="14" t="inlineStr">
        <is>
          <t>inferred</t>
        </is>
      </c>
      <c r="E190" s="14" t="n"/>
      <c r="F190" s="14" t="n"/>
      <c r="G190" s="14" t="inlineStr">
        <is>
          <t>LOW</t>
        </is>
      </c>
      <c r="H190" s="14" t="inlineStr">
        <is>
          <t>room_schedule</t>
        </is>
      </c>
      <c r="I190" s="15" t="inlineStr">
        <is>
          <t>MANUAL REVIEW REQUIRED. Inferred from room type 'pharmacy'.</t>
        </is>
      </c>
    </row>
    <row r="191">
      <c r="A191" s="14" t="inlineStr"/>
      <c r="B191" s="15" t="inlineStr">
        <is>
          <t>Services | Builder's Works, Electrical (Pharmacy)</t>
        </is>
      </c>
      <c r="C191" s="16" t="n">
        <v>1</v>
      </c>
      <c r="D191" s="14" t="inlineStr">
        <is>
          <t>inferred</t>
        </is>
      </c>
      <c r="E191" s="14" t="n"/>
      <c r="F191" s="14" t="n"/>
      <c r="G191" s="14" t="inlineStr">
        <is>
          <t>LOW</t>
        </is>
      </c>
      <c r="H191" s="14" t="inlineStr">
        <is>
          <t>room_schedule</t>
        </is>
      </c>
      <c r="I191" s="15" t="inlineStr">
        <is>
          <t>MANUAL REVIEW REQUIRED. Inferred from room type 'pharmacy'.</t>
        </is>
      </c>
    </row>
    <row r="192">
      <c r="A192" s="14" t="inlineStr"/>
      <c r="B192" s="15" t="inlineStr">
        <is>
          <t>Hand Basin — Supply &amp; Fix</t>
        </is>
      </c>
      <c r="C192" s="16" t="n">
        <v>1</v>
      </c>
      <c r="D192" s="14" t="inlineStr">
        <is>
          <t>inferred</t>
        </is>
      </c>
      <c r="E192" s="14" t="n"/>
      <c r="F192" s="14" t="n"/>
      <c r="G192" s="14" t="inlineStr">
        <is>
          <t>LOW</t>
        </is>
      </c>
      <c r="H192" s="14" t="inlineStr">
        <is>
          <t>room_schedule</t>
        </is>
      </c>
      <c r="I192" s="15" t="inlineStr">
        <is>
          <t>MANUAL REVIEW REQUIRED. Inferred from room type 'consulting'.</t>
        </is>
      </c>
    </row>
    <row r="193">
      <c r="A193" s="14" t="inlineStr"/>
      <c r="B193" s="15" t="inlineStr">
        <is>
          <t>Tapware — Supply &amp; Fix</t>
        </is>
      </c>
      <c r="C193" s="16" t="n">
        <v>1</v>
      </c>
      <c r="D193" s="14" t="inlineStr">
        <is>
          <t>inferred</t>
        </is>
      </c>
      <c r="E193" s="14" t="n"/>
      <c r="F193" s="14" t="n"/>
      <c r="G193" s="14" t="inlineStr">
        <is>
          <t>LOW</t>
        </is>
      </c>
      <c r="H193" s="14" t="inlineStr">
        <is>
          <t>room_schedule</t>
        </is>
      </c>
      <c r="I193" s="15" t="inlineStr">
        <is>
          <t>MANUAL REVIEW REQUIRED. Inferred from room type 'consulting'.</t>
        </is>
      </c>
    </row>
    <row r="194">
      <c r="A194" s="14" t="inlineStr"/>
      <c r="B194" s="15" t="inlineStr">
        <is>
          <t>Hydraulics | Builder's Works, Plumbing (Consulting)</t>
        </is>
      </c>
      <c r="C194" s="16" t="n">
        <v>1</v>
      </c>
      <c r="D194" s="14" t="inlineStr">
        <is>
          <t>inferred</t>
        </is>
      </c>
      <c r="E194" s="14" t="n"/>
      <c r="F194" s="14" t="n"/>
      <c r="G194" s="14" t="inlineStr">
        <is>
          <t>LOW</t>
        </is>
      </c>
      <c r="H194" s="14" t="inlineStr">
        <is>
          <t>room_schedule</t>
        </is>
      </c>
      <c r="I194" s="15" t="inlineStr">
        <is>
          <t>MANUAL REVIEW REQUIRED. Inferred from room type 'consulting'.</t>
        </is>
      </c>
    </row>
    <row r="195">
      <c r="A195" s="14" t="inlineStr"/>
      <c r="B195" s="15" t="inlineStr">
        <is>
          <t>Services | Builder's Works, Electrical (Office)</t>
        </is>
      </c>
      <c r="C195" s="16" t="n">
        <v>1</v>
      </c>
      <c r="D195" s="14" t="inlineStr">
        <is>
          <t>inferred</t>
        </is>
      </c>
      <c r="E195" s="14" t="n"/>
      <c r="F195" s="14" t="n"/>
      <c r="G195" s="14" t="inlineStr">
        <is>
          <t>LOW</t>
        </is>
      </c>
      <c r="H195" s="14" t="inlineStr">
        <is>
          <t>room_schedule</t>
        </is>
      </c>
      <c r="I195" s="15" t="inlineStr">
        <is>
          <t>MANUAL REVIEW REQUIRED. Inferred from room type 'office'.</t>
        </is>
      </c>
    </row>
    <row r="196">
      <c r="A196" s="14" t="inlineStr"/>
      <c r="B196" s="15" t="inlineStr">
        <is>
          <t>WC Pan — Supply &amp; Fix</t>
        </is>
      </c>
      <c r="C196" s="16" t="n">
        <v>1</v>
      </c>
      <c r="D196" s="14" t="inlineStr">
        <is>
          <t>inferred</t>
        </is>
      </c>
      <c r="E196" s="14" t="n"/>
      <c r="F196" s="14" t="n"/>
      <c r="G196" s="14" t="inlineStr">
        <is>
          <t>MEDIUM</t>
        </is>
      </c>
      <c r="H196" s="14" t="inlineStr">
        <is>
          <t>room_schedule</t>
        </is>
      </c>
      <c r="I196" s="15" t="inlineStr">
        <is>
          <t>MANUAL REVIEW REQUIRED. Inferred from room type 'toilet'.</t>
        </is>
      </c>
    </row>
    <row r="197">
      <c r="A197" s="14" t="inlineStr"/>
      <c r="B197" s="15" t="inlineStr">
        <is>
          <t>WC Cistern — Supply &amp; Fix</t>
        </is>
      </c>
      <c r="C197" s="16" t="n">
        <v>1</v>
      </c>
      <c r="D197" s="14" t="inlineStr">
        <is>
          <t>inferred</t>
        </is>
      </c>
      <c r="E197" s="14" t="n"/>
      <c r="F197" s="14" t="n"/>
      <c r="G197" s="14" t="inlineStr">
        <is>
          <t>MEDIUM</t>
        </is>
      </c>
      <c r="H197" s="14" t="inlineStr">
        <is>
          <t>room_schedule</t>
        </is>
      </c>
      <c r="I197" s="15" t="inlineStr">
        <is>
          <t>MANUAL REVIEW REQUIRED. Inferred from room type 'toilet'.</t>
        </is>
      </c>
    </row>
    <row r="198">
      <c r="A198" s="14" t="inlineStr"/>
      <c r="B198" s="15" t="inlineStr">
        <is>
          <t>Hand Basin — Supply &amp; Fix</t>
        </is>
      </c>
      <c r="C198" s="16" t="n">
        <v>1</v>
      </c>
      <c r="D198" s="14" t="inlineStr">
        <is>
          <t>inferred</t>
        </is>
      </c>
      <c r="E198" s="14" t="n"/>
      <c r="F198" s="14" t="n"/>
      <c r="G198" s="14" t="inlineStr">
        <is>
          <t>MEDIUM</t>
        </is>
      </c>
      <c r="H198" s="14" t="inlineStr">
        <is>
          <t>room_schedule</t>
        </is>
      </c>
      <c r="I198" s="15" t="inlineStr">
        <is>
          <t>MANUAL REVIEW REQUIRED. Inferred from room type 'toilet'.</t>
        </is>
      </c>
    </row>
    <row r="199">
      <c r="A199" s="14" t="inlineStr"/>
      <c r="B199" s="15" t="inlineStr">
        <is>
          <t>Tapware — Supply &amp; Fix</t>
        </is>
      </c>
      <c r="C199" s="16" t="n">
        <v>1</v>
      </c>
      <c r="D199" s="14" t="inlineStr">
        <is>
          <t>inferred</t>
        </is>
      </c>
      <c r="E199" s="14" t="n"/>
      <c r="F199" s="14" t="n"/>
      <c r="G199" s="14" t="inlineStr">
        <is>
          <t>MEDIUM</t>
        </is>
      </c>
      <c r="H199" s="14" t="inlineStr">
        <is>
          <t>room_schedule</t>
        </is>
      </c>
      <c r="I199" s="15" t="inlineStr">
        <is>
          <t>MANUAL REVIEW REQUIRED. Inferred from room type 'toilet'.</t>
        </is>
      </c>
    </row>
    <row r="200">
      <c r="A200" s="14" t="inlineStr"/>
      <c r="B200" s="15" t="inlineStr">
        <is>
          <t>Mirror / Medicine Cabinet — Supply &amp; Fix</t>
        </is>
      </c>
      <c r="C200" s="16" t="n">
        <v>1</v>
      </c>
      <c r="D200" s="14" t="inlineStr">
        <is>
          <t>inferred</t>
        </is>
      </c>
      <c r="E200" s="14" t="n"/>
      <c r="F200" s="14" t="n"/>
      <c r="G200" s="14" t="inlineStr">
        <is>
          <t>LOW</t>
        </is>
      </c>
      <c r="H200" s="14" t="inlineStr">
        <is>
          <t>room_schedule</t>
        </is>
      </c>
      <c r="I200" s="15" t="inlineStr">
        <is>
          <t>MANUAL REVIEW REQUIRED. Inferred from room type 'toilet'.</t>
        </is>
      </c>
    </row>
    <row r="201">
      <c r="A201" s="14" t="inlineStr"/>
      <c r="B201" s="15" t="inlineStr">
        <is>
          <t>Toilet Roll Holder — Supply &amp; Fix</t>
        </is>
      </c>
      <c r="C201" s="16" t="n">
        <v>1</v>
      </c>
      <c r="D201" s="14" t="inlineStr">
        <is>
          <t>inferred</t>
        </is>
      </c>
      <c r="E201" s="14" t="n"/>
      <c r="F201" s="14" t="n"/>
      <c r="G201" s="14" t="inlineStr">
        <is>
          <t>LOW</t>
        </is>
      </c>
      <c r="H201" s="14" t="inlineStr">
        <is>
          <t>room_schedule</t>
        </is>
      </c>
      <c r="I201" s="15" t="inlineStr">
        <is>
          <t>MANUAL REVIEW REQUIRED. Inferred from room type 'toilet'.</t>
        </is>
      </c>
    </row>
    <row r="202">
      <c r="A202" s="14" t="inlineStr"/>
      <c r="B202" s="15" t="inlineStr">
        <is>
          <t>Hand Towel Rail — Supply &amp; Fix</t>
        </is>
      </c>
      <c r="C202" s="16" t="n">
        <v>1</v>
      </c>
      <c r="D202" s="14" t="inlineStr">
        <is>
          <t>inferred</t>
        </is>
      </c>
      <c r="E202" s="14" t="n"/>
      <c r="F202" s="14" t="n"/>
      <c r="G202" s="14" t="inlineStr">
        <is>
          <t>LOW</t>
        </is>
      </c>
      <c r="H202" s="14" t="inlineStr">
        <is>
          <t>room_schedule</t>
        </is>
      </c>
      <c r="I202" s="15" t="inlineStr">
        <is>
          <t>MANUAL REVIEW REQUIRED. Inferred from room type 'toilet'.</t>
        </is>
      </c>
    </row>
    <row r="203">
      <c r="A203" s="14" t="inlineStr"/>
      <c r="B203" s="15" t="inlineStr">
        <is>
          <t>Hydraulics | Floor Waste</t>
        </is>
      </c>
      <c r="C203" s="16" t="n">
        <v>1</v>
      </c>
      <c r="D203" s="14" t="inlineStr">
        <is>
          <t>inferred</t>
        </is>
      </c>
      <c r="E203" s="14" t="n"/>
      <c r="F203" s="14" t="n"/>
      <c r="G203" s="14" t="inlineStr">
        <is>
          <t>MEDIUM</t>
        </is>
      </c>
      <c r="H203" s="14" t="inlineStr">
        <is>
          <t>room_schedule</t>
        </is>
      </c>
      <c r="I203" s="15" t="inlineStr">
        <is>
          <t>MANUAL REVIEW REQUIRED. Inferred from room type 'toilet'.</t>
        </is>
      </c>
    </row>
    <row r="204">
      <c r="A204" s="14" t="inlineStr"/>
      <c r="B204" s="15" t="inlineStr">
        <is>
          <t>Hydraulics | Builder's Works, Plumbing (Toilet)</t>
        </is>
      </c>
      <c r="C204" s="16" t="n">
        <v>1</v>
      </c>
      <c r="D204" s="14" t="inlineStr">
        <is>
          <t>inferred</t>
        </is>
      </c>
      <c r="E204" s="14" t="n"/>
      <c r="F204" s="14" t="n"/>
      <c r="G204" s="14" t="inlineStr">
        <is>
          <t>MEDIUM</t>
        </is>
      </c>
      <c r="H204" s="14" t="inlineStr">
        <is>
          <t>room_schedule</t>
        </is>
      </c>
      <c r="I204" s="15" t="inlineStr">
        <is>
          <t>MANUAL REVIEW REQUIRED. Inferred from room type 'toilet'.</t>
        </is>
      </c>
    </row>
    <row r="205">
      <c r="A205" s="14" t="inlineStr"/>
      <c r="B205" s="15" t="inlineStr">
        <is>
          <t>Internal Lining | Wall Tiles, Wet Area</t>
        </is>
      </c>
      <c r="C205" s="16" t="n">
        <v>11.16</v>
      </c>
      <c r="D205" s="14" t="inlineStr">
        <is>
          <t>inferred</t>
        </is>
      </c>
      <c r="E205" s="14" t="n"/>
      <c r="F205" s="14" t="n"/>
      <c r="G205" s="14" t="inlineStr">
        <is>
          <t>LOW</t>
        </is>
      </c>
      <c r="H205" s="14" t="inlineStr">
        <is>
          <t>room</t>
        </is>
      </c>
      <c r="I205" s="15" t="inlineStr">
        <is>
          <t>MANUAL REVIEW REQUIRED. Heuristic estimate — room boundary not source-derived. Perimeter: 2×(√4.5+1)=6.2m (rect-est — no room polygon). Tile area: 6.2m × 1800mm splash zone = 11.16 m². No finish schedule in source documents. Verify tile type, actual room perimeter, splash-zone height, and area from architectural drawings. Deduct door/window openings.</t>
        </is>
      </c>
    </row>
    <row r="206">
      <c r="A206" s="14" t="inlineStr"/>
      <c r="B206" s="15" t="inlineStr">
        <is>
          <t>Hydraulics | Wet Area Waterproofing Membrane</t>
        </is>
      </c>
      <c r="C206" s="16" t="n">
        <v>5.43</v>
      </c>
      <c r="D206" s="14" t="inlineStr">
        <is>
          <t>inferred</t>
        </is>
      </c>
      <c r="E206" s="14" t="n"/>
      <c r="F206" s="14" t="n"/>
      <c r="G206" s="14" t="inlineStr">
        <is>
          <t>LOW</t>
        </is>
      </c>
      <c r="H206" s="14" t="inlineStr">
        <is>
          <t>room</t>
        </is>
      </c>
      <c r="I206" s="15" t="inlineStr">
        <is>
          <t>MANUAL REVIEW REQUIRED. Heuristic estimate: floor area (4.50 m²) + 150 mm upstand for Toilet. Perimeter 6.2 m estimated as 4×√4.5 (no room polygon — config estimate). Verify room dimensions and upstand height from architectural drawings.</t>
        </is>
      </c>
    </row>
    <row r="207">
      <c r="A207" s="14" t="inlineStr"/>
      <c r="B207" s="15" t="inlineStr">
        <is>
          <t>Services | Air Conditioning / Mechanical (PLACEHOLDER)</t>
        </is>
      </c>
      <c r="C207" s="16" t="n">
        <v>0</v>
      </c>
      <c r="D207" s="14" t="inlineStr">
        <is>
          <t>placeholder</t>
        </is>
      </c>
      <c r="E207" s="14" t="n"/>
      <c r="F207" s="14" t="n"/>
      <c r="G207" s="14" t="inlineStr">
        <is>
          <t>LOW</t>
        </is>
      </c>
      <c r="H207" s="14" t="inlineStr">
        <is>
          <t>building_type=pharmacy</t>
        </is>
      </c>
      <c r="I207" s="15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208">
      <c r="A208" s="14" t="inlineStr"/>
      <c r="B208" s="15" t="inlineStr">
        <is>
          <t>Electrical | Exhaust Fan</t>
        </is>
      </c>
      <c r="C208" s="16" t="n">
        <v>0</v>
      </c>
      <c r="D208" s="14" t="inlineStr">
        <is>
          <t>placeholder</t>
        </is>
      </c>
      <c r="E208" s="14" t="n"/>
      <c r="F208" s="14" t="n"/>
      <c r="G208" s="14" t="inlineStr">
        <is>
          <t>LOW</t>
        </is>
      </c>
      <c r="H208" s="14" t="inlineStr">
        <is>
          <t>building_type=pharmacy</t>
        </is>
      </c>
      <c r="I208" s="15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209">
      <c r="A209" s="14" t="inlineStr"/>
      <c r="B209" s="15" t="inlineStr">
        <is>
          <t>Electrical | Main Switchboard / Distribution Board</t>
        </is>
      </c>
      <c r="C209" s="16" t="n">
        <v>1</v>
      </c>
      <c r="D209" s="14" t="inlineStr">
        <is>
          <t>inferred</t>
        </is>
      </c>
      <c r="E209" s="14" t="n"/>
      <c r="F209" s="14" t="n"/>
      <c r="G209" s="14" t="inlineStr">
        <is>
          <t>LOW</t>
        </is>
      </c>
      <c r="H209" s="14" t="inlineStr">
        <is>
          <t>enclosed_floor_area=64.80 m² (</t>
        </is>
      </c>
      <c r="I209" s="15" t="inlineStr">
        <is>
          <t>MANUAL REVIEW REQUIRED. 1 per building; adjust for sub-boards</t>
        </is>
      </c>
    </row>
    <row r="210">
      <c r="A210" s="14" t="inlineStr"/>
      <c r="B210" s="15" t="inlineStr">
        <is>
          <t>Hydraulics | Main Water Meter / Stopcock</t>
        </is>
      </c>
      <c r="C210" s="16" t="n">
        <v>1</v>
      </c>
      <c r="D210" s="14" t="inlineStr">
        <is>
          <t>inferred</t>
        </is>
      </c>
      <c r="E210" s="14" t="n"/>
      <c r="F210" s="14" t="n"/>
      <c r="G210" s="14" t="inlineStr">
        <is>
          <t>LOW</t>
        </is>
      </c>
      <c r="H210" s="14" t="inlineStr">
        <is>
          <t>enclosed_floor_area=64.80 m² (</t>
        </is>
      </c>
      <c r="I210" s="15" t="inlineStr">
        <is>
          <t>MANUAL REVIEW REQUIRED. Whole-building service allowance.</t>
        </is>
      </c>
    </row>
    <row r="211">
      <c r="A211" s="14" t="inlineStr"/>
      <c r="B211" s="15" t="inlineStr">
        <is>
          <t>Hydraulics | Hot Water System</t>
        </is>
      </c>
      <c r="C211" s="16" t="n">
        <v>1</v>
      </c>
      <c r="D211" s="14" t="inlineStr">
        <is>
          <t>inferred</t>
        </is>
      </c>
      <c r="E211" s="14" t="n"/>
      <c r="F211" s="14" t="n"/>
      <c r="G211" s="14" t="inlineStr">
        <is>
          <t>LOW</t>
        </is>
      </c>
      <c r="H211" s="14" t="inlineStr">
        <is>
          <t>enclosed_floor_area=64.80 m² (</t>
        </is>
      </c>
      <c r="I211" s="15" t="inlineStr">
        <is>
          <t>MANUAL REVIEW REQUIRED. only if not allocated to individual rooms</t>
        </is>
      </c>
    </row>
    <row r="212">
      <c r="A212" s="14" t="inlineStr"/>
      <c r="B212" s="15" t="inlineStr">
        <is>
          <t>Electrical | Smoke Detector</t>
        </is>
      </c>
      <c r="C212" s="16" t="n">
        <v>2</v>
      </c>
      <c r="D212" s="14" t="inlineStr">
        <is>
          <t>inferred</t>
        </is>
      </c>
      <c r="E212" s="14" t="n"/>
      <c r="F212" s="14" t="n"/>
      <c r="G212" s="14" t="inlineStr">
        <is>
          <t>LOW</t>
        </is>
      </c>
      <c r="H212" s="14" t="inlineStr">
        <is>
          <t>enclosed_floor_area=64.80 m² (</t>
        </is>
      </c>
      <c r="I212" s="15" t="inlineStr">
        <is>
          <t>MANUAL REVIEW REQUIRED. 1 per 40 m² floor area (indicative)</t>
        </is>
      </c>
    </row>
    <row r="213" ht="18" customHeight="1">
      <c r="A213" s="30" t="inlineStr">
        <is>
          <t>50118 - Insulation</t>
        </is>
      </c>
      <c r="B213" s="31" t="n"/>
      <c r="C213" s="31" t="n"/>
      <c r="D213" s="31" t="n"/>
      <c r="E213" s="31" t="n"/>
      <c r="F213" s="31" t="n"/>
      <c r="G213" s="31" t="n"/>
      <c r="H213" s="31" t="n"/>
      <c r="I213" s="31" t="n"/>
    </row>
    <row r="214">
      <c r="A214" s="44" t="inlineStr"/>
      <c r="B214" s="45" t="inlineStr">
        <is>
          <t>Insulation | Glasswool Batts, Roof Cavity</t>
        </is>
      </c>
      <c r="C214" s="46" t="n">
        <v>106.6</v>
      </c>
      <c r="D214" s="44" t="inlineStr">
        <is>
          <t>calculated</t>
        </is>
      </c>
      <c r="E214" s="44" t="n"/>
      <c r="F214" s="44" t="n"/>
      <c r="G214" s="44" t="inlineStr">
        <is>
          <t>HIGH</t>
        </is>
      </c>
      <c r="H214" s="44" t="inlineStr">
        <is>
          <t>dxf_geometry</t>
        </is>
      </c>
      <c r="I214" s="45" t="inlineStr">
        <is>
          <t>Roof cavity batt insulation above ceiling plane. R-value to be confirmed by ESD consultant.</t>
        </is>
      </c>
    </row>
    <row r="215">
      <c r="A215" s="44" t="inlineStr"/>
      <c r="B215" s="45" t="inlineStr">
        <is>
          <t>Reflective Foil / Sisalation Underlay (roof)</t>
        </is>
      </c>
      <c r="C215" s="46" t="n">
        <v>111.93</v>
      </c>
      <c r="D215" s="44" t="inlineStr">
        <is>
          <t>calculated</t>
        </is>
      </c>
      <c r="E215" s="44" t="n"/>
      <c r="F215" s="44" t="n"/>
      <c r="G215" s="44" t="inlineStr">
        <is>
          <t>HIGH</t>
        </is>
      </c>
      <c r="H215" s="44" t="inlineStr">
        <is>
          <t>dxf_geometry</t>
        </is>
      </c>
      <c r="I215" s="45" t="inlineStr">
        <is>
          <t>Reflective foil sarking / sisalation beneath roof sheeting. 5% for laps.</t>
        </is>
      </c>
    </row>
    <row r="216">
      <c r="A216" s="44" t="inlineStr"/>
      <c r="B216" s="45" t="inlineStr">
        <is>
          <t>Sisalation Lap Tape (50mm × 30m rolls)</t>
        </is>
      </c>
      <c r="C216" s="46" t="n">
        <v>3</v>
      </c>
      <c r="D216" s="44" t="inlineStr">
        <is>
          <t>calculated</t>
        </is>
      </c>
      <c r="E216" s="44" t="n"/>
      <c r="F216" s="44" t="n"/>
      <c r="G216" s="44" t="inlineStr">
        <is>
          <t>LOW</t>
        </is>
      </c>
      <c r="H216" s="44" t="inlineStr">
        <is>
          <t>dxf_geometry</t>
        </is>
      </c>
      <c r="I216" s="45" t="inlineStr">
        <is>
          <t>Lap tape for sisalation overlaps. 1 roll per ~50 m².</t>
        </is>
      </c>
    </row>
    <row r="217">
      <c r="A217" s="44" t="inlineStr"/>
      <c r="B217" s="45" t="inlineStr">
        <is>
          <t>Insulation | Glasswool Batts, Ceiling</t>
        </is>
      </c>
      <c r="C217" s="46" t="n">
        <v>49</v>
      </c>
      <c r="D217" s="44" t="inlineStr">
        <is>
          <t>calculated</t>
        </is>
      </c>
      <c r="E217" s="44" t="n"/>
      <c r="F217" s="44" t="n"/>
      <c r="G217" s="44" t="inlineStr">
        <is>
          <t>HIGH</t>
        </is>
      </c>
      <c r="H217" s="44" t="inlineStr">
        <is>
          <t>dxf_geometry</t>
        </is>
      </c>
      <c r="I217" s="45" t="inlineStr">
        <is>
          <t>Ceiling-level batt insulation: 49.00 m² from DXF CEILING HATCH. R-value to be confirmed by ESD consultant. Note: 15.8 m² partial ceiling — area may differ from full floor area.</t>
        </is>
      </c>
    </row>
    <row r="218">
      <c r="A218" s="44" t="inlineStr"/>
      <c r="B218" s="45" t="inlineStr">
        <is>
          <t>Insulation | Glasswool Batts, External Wall</t>
        </is>
      </c>
      <c r="C218" s="46" t="n">
        <v>92.16</v>
      </c>
      <c r="D218" s="44" t="inlineStr">
        <is>
          <t>calculated</t>
        </is>
      </c>
      <c r="E218" s="44" t="n"/>
      <c r="F218" s="44" t="n"/>
      <c r="G218" s="44" t="inlineStr">
        <is>
          <t>MEDIUM</t>
        </is>
      </c>
      <c r="H218" s="44" t="inlineStr">
        <is>
          <t>dxf_geometry</t>
        </is>
      </c>
      <c r="I218" s="45" t="inlineStr">
        <is>
          <t>Gross wall area; deduct large openings if required. R-value to confirm with ESD.</t>
        </is>
      </c>
    </row>
    <row r="219">
      <c r="A219" s="14" t="inlineStr"/>
      <c r="B219" s="15" t="inlineStr">
        <is>
          <t>Insulation | Glasswool Batts, Internal Wall</t>
        </is>
      </c>
      <c r="C219" s="16" t="n">
        <v>70.56</v>
      </c>
      <c r="D219" s="14" t="inlineStr">
        <is>
          <t>calculated</t>
        </is>
      </c>
      <c r="E219" s="14" t="n"/>
      <c r="F219" s="14" t="n"/>
      <c r="G219" s="14" t="inlineStr">
        <is>
          <t>HIGH</t>
        </is>
      </c>
      <c r="H219" s="14" t="inlineStr">
        <is>
          <t>dxf_geometry</t>
        </is>
      </c>
      <c r="I219" s="15" t="inlineStr">
        <is>
          <t>MANUAL REVIEW REQUIRED. Acoustic batt insulation in internal partition stud cavities. Area based on single face per wall run (not doubled). Verify with architectural acoustic requirements.</t>
        </is>
      </c>
    </row>
    <row r="220">
      <c r="A220" s="44" t="inlineStr"/>
      <c r="B220" s="45" t="inlineStr">
        <is>
          <t>Insulation | Glasswool Batts, Total Supply</t>
        </is>
      </c>
      <c r="C220" s="46" t="n">
        <v>318.32</v>
      </c>
      <c r="D220" s="44" t="inlineStr">
        <is>
          <t>calculated</t>
        </is>
      </c>
      <c r="E220" s="44" t="n"/>
      <c r="F220" s="44" t="n"/>
      <c r="G220" s="44" t="inlineStr">
        <is>
          <t>MEDIUM</t>
        </is>
      </c>
      <c r="H220" s="44" t="inlineStr">
        <is>
          <t>derived</t>
        </is>
      </c>
      <c r="I220" s="45" t="inlineStr">
        <is>
          <t>Total insulation batt supply area across all zones. Includes roof cavity, ceiling, external wall, and internal wall batts. Each zone has a different R-value and batt thickness — order as separate line items. Use this total for preliminary material cost estimate only.</t>
        </is>
      </c>
    </row>
    <row r="221" ht="18" customHeight="1">
      <c r="A221" s="30" t="inlineStr">
        <is>
          <t>50124 - Stairs &amp; Balustrades</t>
        </is>
      </c>
      <c r="B221" s="31" t="n"/>
      <c r="C221" s="31" t="n"/>
      <c r="D221" s="31" t="n"/>
      <c r="E221" s="31" t="n"/>
      <c r="F221" s="31" t="n"/>
      <c r="G221" s="31" t="n"/>
      <c r="H221" s="31" t="n"/>
      <c r="I221" s="31" t="n"/>
    </row>
    <row r="222">
      <c r="A222" s="14" t="inlineStr"/>
      <c r="B222" s="15" t="inlineStr">
        <is>
          <t>Stair | Stringer</t>
        </is>
      </c>
      <c r="C222" s="16" t="n">
        <v>1</v>
      </c>
      <c r="D222" s="14" t="inlineStr">
        <is>
          <t>inferred</t>
        </is>
      </c>
      <c r="E222" s="14" t="n"/>
      <c r="F222" s="14" t="n"/>
      <c r="G222" s="14" t="inlineStr">
        <is>
          <t>LOW</t>
        </is>
      </c>
      <c r="H222" s="14" t="inlineStr">
        <is>
          <t>project_config</t>
        </is>
      </c>
      <c r="I222" s="15" t="inlineStr">
        <is>
          <t>MANUAL REVIEW REQUIRED. Entry stair — riser count estimated from raised floor height (~525mm). Verify from architectural drawings.</t>
        </is>
      </c>
    </row>
    <row r="223">
      <c r="A223" s="14" t="inlineStr"/>
      <c r="B223" s="15" t="inlineStr">
        <is>
          <t>Stair | Tread</t>
        </is>
      </c>
      <c r="C223" s="16" t="n">
        <v>3</v>
      </c>
      <c r="D223" s="14" t="inlineStr">
        <is>
          <t>inferred</t>
        </is>
      </c>
      <c r="E223" s="14" t="n"/>
      <c r="F223" s="14" t="n"/>
      <c r="G223" s="14" t="inlineStr">
        <is>
          <t>LOW</t>
        </is>
      </c>
      <c r="H223" s="14" t="inlineStr">
        <is>
          <t>project_config</t>
        </is>
      </c>
      <c r="I223" s="15" t="inlineStr">
        <is>
          <t>MANUAL REVIEW REQUIRED.</t>
        </is>
      </c>
    </row>
    <row r="224">
      <c r="A224" s="9" t="inlineStr"/>
      <c r="B224" s="10" t="inlineStr">
        <is>
          <t>Stair | Component</t>
        </is>
      </c>
      <c r="C224" s="11" t="n">
        <v>2</v>
      </c>
      <c r="D224" s="9" t="inlineStr">
        <is>
          <t>calculated</t>
        </is>
      </c>
      <c r="E224" s="9" t="n"/>
      <c r="F224" s="9" t="n"/>
      <c r="G224" s="9" t="inlineStr">
        <is>
          <t>MEDIUM</t>
        </is>
      </c>
      <c r="H224" s="9" t="inlineStr">
        <is>
          <t>project_config</t>
        </is>
      </c>
      <c r="I224" s="10" t="inlineStr">
        <is>
          <t>1 newel post at top and bottom of each flight.</t>
        </is>
      </c>
    </row>
    <row r="225">
      <c r="A225" s="14" t="inlineStr"/>
      <c r="B225" s="15" t="inlineStr">
        <is>
          <t>Stair | Balustrade Top Rail</t>
        </is>
      </c>
      <c r="C225" s="16" t="n">
        <v>0.75</v>
      </c>
      <c r="D225" s="14" t="inlineStr">
        <is>
          <t>calculated</t>
        </is>
      </c>
      <c r="E225" s="14" t="n"/>
      <c r="F225" s="14" t="n"/>
      <c r="G225" s="14" t="inlineStr">
        <is>
          <t>LOW</t>
        </is>
      </c>
      <c r="H225" s="14" t="inlineStr">
        <is>
          <t>project_config</t>
        </is>
      </c>
      <c r="I225" s="15" t="inlineStr">
        <is>
          <t>MANUAL REVIEW REQUIRED. Verify length from architectural drawings.</t>
        </is>
      </c>
    </row>
    <row r="226">
      <c r="A226" s="14" t="inlineStr"/>
      <c r="B226" s="15" t="inlineStr">
        <is>
          <t>Stair | Balustrade Post</t>
        </is>
      </c>
      <c r="C226" s="16" t="n">
        <v>1</v>
      </c>
      <c r="D226" s="14" t="inlineStr">
        <is>
          <t>calculated</t>
        </is>
      </c>
      <c r="E226" s="14" t="n"/>
      <c r="F226" s="14" t="n"/>
      <c r="G226" s="14" t="inlineStr">
        <is>
          <t>LOW</t>
        </is>
      </c>
      <c r="H226" s="14" t="inlineStr">
        <is>
          <t>project_config</t>
        </is>
      </c>
      <c r="I226" s="15" t="inlineStr">
        <is>
          <t>MANUAL REVIEW REQUIRED. 1 post per 1.2 m spacing. Verify from balustrade schedule.</t>
        </is>
      </c>
    </row>
    <row r="227">
      <c r="A227" s="14" t="inlineStr"/>
      <c r="B227" s="15" t="inlineStr">
        <is>
          <t>Stair | Balustrade Infill</t>
        </is>
      </c>
      <c r="C227" s="16" t="n">
        <v>0.75</v>
      </c>
      <c r="D227" s="14" t="inlineStr">
        <is>
          <t>inferred</t>
        </is>
      </c>
      <c r="E227" s="14" t="n"/>
      <c r="F227" s="14" t="n"/>
      <c r="G227" s="14" t="inlineStr">
        <is>
          <t>LOW</t>
        </is>
      </c>
      <c r="H227" s="14" t="inlineStr">
        <is>
          <t>project_config</t>
        </is>
      </c>
      <c r="I227" s="15" t="inlineStr">
        <is>
          <t>MANUAL REVIEW REQUIRED. Infill height assumed 1.0 m. Adjust for guard height requirement (≥1.0 m at &gt;1.0 m fall).</t>
        </is>
      </c>
    </row>
    <row r="228">
      <c r="A228" s="14" t="inlineStr"/>
      <c r="B228" s="15" t="inlineStr">
        <is>
          <t>Stair | Handrail</t>
        </is>
      </c>
      <c r="C228" s="16" t="n">
        <v>0.75</v>
      </c>
      <c r="D228" s="14" t="inlineStr">
        <is>
          <t>calculated</t>
        </is>
      </c>
      <c r="E228" s="14" t="n"/>
      <c r="F228" s="14" t="n"/>
      <c r="G228" s="14" t="inlineStr">
        <is>
          <t>LOW</t>
        </is>
      </c>
      <c r="H228" s="14" t="inlineStr">
        <is>
          <t>project_config</t>
        </is>
      </c>
      <c r="I228" s="15" t="inlineStr">
        <is>
          <t>MANUAL REVIEW REQUIRED. Verify handrail length. Continuous rail both sides of flight where required by code.</t>
        </is>
      </c>
    </row>
    <row r="229">
      <c r="A229" s="14" t="inlineStr"/>
      <c r="B229" s="15" t="inlineStr">
        <is>
          <t>Access Ramp | Surface, Concrete / Non-slip</t>
        </is>
      </c>
      <c r="C229" s="16" t="n">
        <v>8.82</v>
      </c>
      <c r="D229" s="14" t="inlineStr">
        <is>
          <t>inferred</t>
        </is>
      </c>
      <c r="E229" s="14" t="n"/>
      <c r="F229" s="14" t="n"/>
      <c r="G229" s="14" t="inlineStr">
        <is>
          <t>LOW</t>
        </is>
      </c>
      <c r="H229" s="14" t="inlineStr">
        <is>
          <t>derived from project_config</t>
        </is>
      </c>
      <c r="I229" s="15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230">
      <c r="A230" s="14" t="inlineStr"/>
      <c r="B230" s="15" t="inlineStr">
        <is>
          <t>Access Ramp | (type by design)</t>
        </is>
      </c>
      <c r="C230" s="16" t="n">
        <v>14.7</v>
      </c>
      <c r="D230" s="14" t="inlineStr">
        <is>
          <t>inferred</t>
        </is>
      </c>
      <c r="E230" s="14" t="n"/>
      <c r="F230" s="14" t="n"/>
      <c r="G230" s="14" t="inlineStr">
        <is>
          <t>LOW</t>
        </is>
      </c>
      <c r="H230" s="14" t="inlineStr">
        <is>
          <t>derived from ramp run</t>
        </is>
      </c>
      <c r="I230" s="15" t="inlineStr">
        <is>
          <t>MANUAL REVIEW REQUIRED. Continuous handrails both sides of ramp. Verify height and spec from architectural drawings.</t>
        </is>
      </c>
    </row>
    <row r="231">
      <c r="A231" s="14" t="inlineStr"/>
      <c r="B231" s="15" t="inlineStr">
        <is>
          <t>Access Ramp | Edge Kerb / Guard</t>
        </is>
      </c>
      <c r="C231" s="16" t="n">
        <v>14.7</v>
      </c>
      <c r="D231" s="14" t="inlineStr">
        <is>
          <t>inferred</t>
        </is>
      </c>
      <c r="E231" s="14" t="n"/>
      <c r="F231" s="14" t="n"/>
      <c r="G231" s="14" t="inlineStr">
        <is>
          <t>LOW</t>
        </is>
      </c>
      <c r="H231" s="14" t="inlineStr">
        <is>
          <t>derived from ramp run</t>
        </is>
      </c>
      <c r="I231" s="15" t="inlineStr">
        <is>
          <t>MANUAL REVIEW REQUIRED. Kerb guard (min 75 mm high) both sides. Verify from architectural drawings.</t>
        </is>
      </c>
    </row>
    <row r="232">
      <c r="A232" s="9" t="inlineStr"/>
      <c r="B232" s="10" t="inlineStr">
        <is>
          <t>External Works | Verandah Balustrade</t>
        </is>
      </c>
      <c r="C232" s="11" t="n">
        <v>20.4</v>
      </c>
      <c r="D232" s="9" t="inlineStr">
        <is>
          <t>measured</t>
        </is>
      </c>
      <c r="E232" s="9" t="n"/>
      <c r="F232" s="9" t="n"/>
      <c r="G232" s="9" t="inlineStr">
        <is>
          <t>HIGH</t>
        </is>
      </c>
      <c r="H232" s="9" t="inlineStr">
        <is>
          <t>dxf_geometry</t>
        </is>
      </c>
      <c r="I232" s="10" t="inlineStr"/>
    </row>
    <row r="233">
      <c r="A233" s="9" t="inlineStr"/>
      <c r="B233" s="10" t="inlineStr">
        <is>
          <t>External Works | Verandah Handrail</t>
        </is>
      </c>
      <c r="C233" s="11" t="n">
        <v>20.4</v>
      </c>
      <c r="D233" s="9" t="inlineStr">
        <is>
          <t>calculated</t>
        </is>
      </c>
      <c r="E233" s="9" t="n"/>
      <c r="F233" s="9" t="n"/>
      <c r="G233" s="9" t="inlineStr">
        <is>
          <t>MEDIUM</t>
        </is>
      </c>
      <c r="H233" s="9" t="inlineStr">
        <is>
          <t>dxf_geometry</t>
        </is>
      </c>
      <c r="I233" s="10" t="inlineStr">
        <is>
          <t>Reduce if one side abuts building wall.</t>
        </is>
      </c>
    </row>
    <row r="234">
      <c r="A234" s="9" t="inlineStr"/>
      <c r="B234" s="10" t="inlineStr">
        <is>
          <t>Balustrade | Post</t>
        </is>
      </c>
      <c r="C234" s="11" t="n">
        <v>17</v>
      </c>
      <c r="D234" s="9" t="inlineStr">
        <is>
          <t>calculated</t>
        </is>
      </c>
      <c r="E234" s="9" t="n"/>
      <c r="F234" s="9" t="n"/>
      <c r="G234" s="9" t="inlineStr">
        <is>
          <t>LOW</t>
        </is>
      </c>
      <c r="H234" s="9" t="inlineStr">
        <is>
          <t>derived from verandah_perimete</t>
        </is>
      </c>
      <c r="I234" s="10" t="inlineStr"/>
    </row>
    <row r="235" ht="18" customHeight="1">
      <c r="A235" s="30" t="inlineStr"/>
      <c r="B235" s="31" t="n"/>
      <c r="C235" s="31" t="n"/>
      <c r="D235" s="31" t="n"/>
      <c r="E235" s="31" t="n"/>
      <c r="F235" s="31" t="n"/>
      <c r="G235" s="31" t="n"/>
      <c r="H235" s="31" t="n"/>
      <c r="I235" s="31" t="n"/>
    </row>
    <row r="236">
      <c r="A236" s="32" t="inlineStr"/>
      <c r="B236" s="33" t="inlineStr">
        <is>
          <t>Trims</t>
        </is>
      </c>
      <c r="C236" s="34" t="inlineStr"/>
      <c r="D236" s="32" t="inlineStr">
        <is>
          <t>export_only_grouping</t>
        </is>
      </c>
      <c r="E236" s="32" t="n"/>
      <c r="F236" s="32" t="n"/>
      <c r="G236" s="32" t="inlineStr">
        <is>
          <t>HIGH</t>
        </is>
      </c>
      <c r="H236" s="32" t="inlineStr">
        <is>
          <t>export_layer</t>
        </is>
      </c>
      <c r="I236" s="33" t="n"/>
    </row>
    <row r="237">
      <c r="A237" s="32" t="inlineStr"/>
      <c r="B237" s="33" t="inlineStr">
        <is>
          <t>Decking</t>
        </is>
      </c>
      <c r="C237" s="34" t="inlineStr"/>
      <c r="D237" s="32" t="inlineStr">
        <is>
          <t>export_only_grouping</t>
        </is>
      </c>
      <c r="E237" s="32" t="n"/>
      <c r="F237" s="32" t="n"/>
      <c r="G237" s="32" t="inlineStr">
        <is>
          <t>HIGH</t>
        </is>
      </c>
      <c r="H237" s="32" t="inlineStr">
        <is>
          <t>export_layer</t>
        </is>
      </c>
      <c r="I237" s="33" t="n"/>
    </row>
    <row r="238" ht="18" customHeight="1">
      <c r="A238" s="30" t="inlineStr"/>
      <c r="B238" s="31" t="n"/>
      <c r="C238" s="31" t="n"/>
      <c r="D238" s="31" t="n"/>
      <c r="E238" s="31" t="n"/>
      <c r="F238" s="31" t="n"/>
      <c r="G238" s="31" t="n"/>
      <c r="H238" s="31" t="n"/>
      <c r="I238" s="31" t="n"/>
    </row>
    <row r="239">
      <c r="A239" s="35" t="inlineStr"/>
      <c r="B239" s="36" t="inlineStr">
        <is>
          <t>Footings</t>
        </is>
      </c>
      <c r="C239" s="37" t="inlineStr"/>
      <c r="D239" s="35" t="inlineStr">
        <is>
          <t>export_only_grouping</t>
        </is>
      </c>
      <c r="E239" s="35" t="n"/>
      <c r="F239" s="35" t="n"/>
      <c r="G239" s="35" t="inlineStr">
        <is>
          <t>HIGH</t>
        </is>
      </c>
      <c r="H239" s="35" t="inlineStr">
        <is>
          <t>export_layer</t>
        </is>
      </c>
      <c r="I239" s="36" t="n"/>
    </row>
    <row r="240">
      <c r="A240" s="35" t="inlineStr"/>
      <c r="B240" s="36" t="inlineStr">
        <is>
          <t>Substructure</t>
        </is>
      </c>
      <c r="C240" s="37" t="inlineStr"/>
      <c r="D240" s="35" t="inlineStr">
        <is>
          <t>export_only_grouping</t>
        </is>
      </c>
      <c r="E240" s="35" t="n"/>
      <c r="F240" s="35" t="n"/>
      <c r="G240" s="35" t="inlineStr">
        <is>
          <t>HIGH</t>
        </is>
      </c>
      <c r="H240" s="35" t="inlineStr">
        <is>
          <t>export_layer</t>
        </is>
      </c>
      <c r="I240" s="36" t="n"/>
    </row>
    <row r="241">
      <c r="A241" s="35" t="inlineStr"/>
      <c r="B241" s="36" t="inlineStr">
        <is>
          <t>Floor System</t>
        </is>
      </c>
      <c r="C241" s="37" t="inlineStr"/>
      <c r="D241" s="35" t="inlineStr">
        <is>
          <t>export_only_grouping</t>
        </is>
      </c>
      <c r="E241" s="35" t="n"/>
      <c r="F241" s="35" t="n"/>
      <c r="G241" s="35" t="inlineStr">
        <is>
          <t>HIGH</t>
        </is>
      </c>
      <c r="H241" s="35" t="inlineStr">
        <is>
          <t>export_layer</t>
        </is>
      </c>
      <c r="I241" s="36" t="n"/>
    </row>
    <row r="242">
      <c r="A242" s="35" t="inlineStr"/>
      <c r="B242" s="36" t="inlineStr">
        <is>
          <t>Frame</t>
        </is>
      </c>
      <c r="C242" s="37" t="inlineStr"/>
      <c r="D242" s="35" t="inlineStr">
        <is>
          <t>export_only_grouping</t>
        </is>
      </c>
      <c r="E242" s="35" t="n"/>
      <c r="F242" s="35" t="n"/>
      <c r="G242" s="35" t="inlineStr">
        <is>
          <t>HIGH</t>
        </is>
      </c>
      <c r="H242" s="35" t="inlineStr">
        <is>
          <t>export_layer</t>
        </is>
      </c>
      <c r="I242" s="36" t="n"/>
    </row>
    <row r="243" ht="18" customHeight="1">
      <c r="A243" s="30" t="inlineStr"/>
      <c r="B243" s="31" t="n"/>
      <c r="C243" s="31" t="n"/>
      <c r="D243" s="31" t="n"/>
      <c r="E243" s="31" t="n"/>
      <c r="F243" s="31" t="n"/>
      <c r="G243" s="31" t="n"/>
      <c r="H243" s="31" t="n"/>
      <c r="I243" s="31" t="n"/>
    </row>
    <row r="244">
      <c r="A244" s="47" t="inlineStr"/>
      <c r="B244" s="48" t="inlineStr">
        <is>
          <t>Structural Fixings</t>
        </is>
      </c>
      <c r="C244" s="49" t="inlineStr"/>
      <c r="D244" s="47" t="inlineStr">
        <is>
          <t>export_only_grouping</t>
        </is>
      </c>
      <c r="E244" s="47" t="n"/>
      <c r="F244" s="47" t="n"/>
      <c r="G244" s="47" t="inlineStr">
        <is>
          <t>HIGH</t>
        </is>
      </c>
      <c r="H244" s="47" t="inlineStr">
        <is>
          <t>export_layer</t>
        </is>
      </c>
      <c r="I244" s="48" t="n"/>
    </row>
    <row r="245" ht="18" customHeight="1">
      <c r="A245" s="30" t="inlineStr"/>
      <c r="B245" s="31" t="n"/>
      <c r="C245" s="31" t="n"/>
      <c r="D245" s="31" t="n"/>
      <c r="E245" s="31" t="n"/>
      <c r="F245" s="31" t="n"/>
      <c r="G245" s="31" t="n"/>
      <c r="H245" s="31" t="n"/>
      <c r="I245" s="31" t="n"/>
    </row>
    <row r="246">
      <c r="A246" s="17" t="inlineStr"/>
      <c r="B246" s="18" t="inlineStr">
        <is>
          <t>Roof Covering</t>
        </is>
      </c>
      <c r="C246" s="19" t="inlineStr"/>
      <c r="D246" s="17" t="inlineStr">
        <is>
          <t>export_only_grouping</t>
        </is>
      </c>
      <c r="E246" s="17" t="n"/>
      <c r="F246" s="17" t="n"/>
      <c r="G246" s="17" t="inlineStr">
        <is>
          <t>HIGH</t>
        </is>
      </c>
      <c r="H246" s="17" t="inlineStr">
        <is>
          <t>export_layer</t>
        </is>
      </c>
      <c r="I246" s="18" t="n"/>
    </row>
    <row r="247">
      <c r="A247" s="17" t="inlineStr"/>
      <c r="B247" s="18" t="inlineStr">
        <is>
          <t>Eaves</t>
        </is>
      </c>
      <c r="C247" s="19" t="inlineStr"/>
      <c r="D247" s="17" t="inlineStr">
        <is>
          <t>export_only_grouping</t>
        </is>
      </c>
      <c r="E247" s="17" t="n"/>
      <c r="F247" s="17" t="n"/>
      <c r="G247" s="17" t="inlineStr">
        <is>
          <t>HIGH</t>
        </is>
      </c>
      <c r="H247" s="17" t="inlineStr">
        <is>
          <t>export_layer</t>
        </is>
      </c>
      <c r="I247" s="18" t="n"/>
    </row>
    <row r="248">
      <c r="A248" s="17" t="inlineStr"/>
      <c r="B248" s="18" t="inlineStr">
        <is>
          <t>Roof Plumbing</t>
        </is>
      </c>
      <c r="C248" s="19" t="inlineStr"/>
      <c r="D248" s="17" t="inlineStr">
        <is>
          <t>export_only_grouping</t>
        </is>
      </c>
      <c r="E248" s="17" t="n"/>
      <c r="F248" s="17" t="n"/>
      <c r="G248" s="17" t="inlineStr">
        <is>
          <t>HIGH</t>
        </is>
      </c>
      <c r="H248" s="17" t="inlineStr">
        <is>
          <t>export_layer</t>
        </is>
      </c>
      <c r="I248" s="18" t="n"/>
    </row>
    <row r="249" ht="18" customHeight="1">
      <c r="A249" s="30" t="inlineStr"/>
      <c r="B249" s="31" t="n"/>
      <c r="C249" s="31" t="n"/>
      <c r="D249" s="31" t="n"/>
      <c r="E249" s="31" t="n"/>
      <c r="F249" s="31" t="n"/>
      <c r="G249" s="31" t="n"/>
      <c r="H249" s="31" t="n"/>
      <c r="I249" s="31" t="n"/>
    </row>
    <row r="250">
      <c r="A250" s="38" t="inlineStr"/>
      <c r="B250" s="39" t="inlineStr">
        <is>
          <t>Wall Cladding</t>
        </is>
      </c>
      <c r="C250" s="40" t="inlineStr"/>
      <c r="D250" s="38" t="inlineStr">
        <is>
          <t>export_only_grouping</t>
        </is>
      </c>
      <c r="E250" s="38" t="n"/>
      <c r="F250" s="38" t="n"/>
      <c r="G250" s="38" t="inlineStr">
        <is>
          <t>HIGH</t>
        </is>
      </c>
      <c r="H250" s="38" t="inlineStr">
        <is>
          <t>export_layer</t>
        </is>
      </c>
      <c r="I250" s="39" t="n"/>
    </row>
    <row r="251" ht="18" customHeight="1">
      <c r="A251" s="30" t="inlineStr"/>
      <c r="B251" s="31" t="n"/>
      <c r="C251" s="31" t="n"/>
      <c r="D251" s="31" t="n"/>
      <c r="E251" s="31" t="n"/>
      <c r="F251" s="31" t="n"/>
      <c r="G251" s="31" t="n"/>
      <c r="H251" s="31" t="n"/>
      <c r="I251" s="31" t="n"/>
    </row>
    <row r="252">
      <c r="A252" s="41" t="inlineStr"/>
      <c r="B252" s="42" t="inlineStr">
        <is>
          <t>Doors</t>
        </is>
      </c>
      <c r="C252" s="43" t="inlineStr"/>
      <c r="D252" s="41" t="inlineStr">
        <is>
          <t>export_only_grouping</t>
        </is>
      </c>
      <c r="E252" s="41" t="n"/>
      <c r="F252" s="41" t="n"/>
      <c r="G252" s="41" t="inlineStr">
        <is>
          <t>HIGH</t>
        </is>
      </c>
      <c r="H252" s="41" t="inlineStr">
        <is>
          <t>export_layer</t>
        </is>
      </c>
      <c r="I252" s="42" t="n"/>
    </row>
    <row r="253">
      <c r="A253" s="41" t="inlineStr"/>
      <c r="B253" s="42" t="inlineStr">
        <is>
          <t>Door Hardware</t>
        </is>
      </c>
      <c r="C253" s="43" t="inlineStr"/>
      <c r="D253" s="41" t="inlineStr">
        <is>
          <t>export_only_grouping</t>
        </is>
      </c>
      <c r="E253" s="41" t="n"/>
      <c r="F253" s="41" t="n"/>
      <c r="G253" s="41" t="inlineStr">
        <is>
          <t>HIGH</t>
        </is>
      </c>
      <c r="H253" s="41" t="inlineStr">
        <is>
          <t>export_layer</t>
        </is>
      </c>
      <c r="I253" s="42" t="n"/>
    </row>
    <row r="254">
      <c r="A254" s="41" t="inlineStr"/>
      <c r="B254" s="42" t="inlineStr">
        <is>
          <t>Windows</t>
        </is>
      </c>
      <c r="C254" s="43" t="inlineStr"/>
      <c r="D254" s="41" t="inlineStr">
        <is>
          <t>export_only_grouping</t>
        </is>
      </c>
      <c r="E254" s="41" t="n"/>
      <c r="F254" s="41" t="n"/>
      <c r="G254" s="41" t="inlineStr">
        <is>
          <t>HIGH</t>
        </is>
      </c>
      <c r="H254" s="41" t="inlineStr">
        <is>
          <t>export_layer</t>
        </is>
      </c>
      <c r="I254" s="42" t="n"/>
    </row>
    <row r="255">
      <c r="A255" s="41" t="inlineStr"/>
      <c r="B255" s="42" t="inlineStr">
        <is>
          <t>Window Accessories</t>
        </is>
      </c>
      <c r="C255" s="43" t="inlineStr"/>
      <c r="D255" s="41" t="inlineStr">
        <is>
          <t>export_only_grouping</t>
        </is>
      </c>
      <c r="E255" s="41" t="n"/>
      <c r="F255" s="41" t="n"/>
      <c r="G255" s="41" t="inlineStr">
        <is>
          <t>HIGH</t>
        </is>
      </c>
      <c r="H255" s="41" t="inlineStr">
        <is>
          <t>export_layer</t>
        </is>
      </c>
      <c r="I255" s="42" t="n"/>
    </row>
    <row r="256" ht="18" customHeight="1">
      <c r="A256" s="30" t="inlineStr"/>
      <c r="B256" s="31" t="n"/>
      <c r="C256" s="31" t="n"/>
      <c r="D256" s="31" t="n"/>
      <c r="E256" s="31" t="n"/>
      <c r="F256" s="31" t="n"/>
      <c r="G256" s="31" t="n"/>
      <c r="H256" s="31" t="n"/>
      <c r="I256" s="31" t="n"/>
    </row>
    <row r="257">
      <c r="A257" s="20" t="inlineStr"/>
      <c r="B257" s="21" t="inlineStr">
        <is>
          <t>Ceiling Finishes</t>
        </is>
      </c>
      <c r="C257" s="22" t="inlineStr"/>
      <c r="D257" s="20" t="inlineStr">
        <is>
          <t>export_only_grouping</t>
        </is>
      </c>
      <c r="E257" s="20" t="n"/>
      <c r="F257" s="20" t="n"/>
      <c r="G257" s="20" t="inlineStr">
        <is>
          <t>HIGH</t>
        </is>
      </c>
      <c r="H257" s="20" t="inlineStr">
        <is>
          <t>export_layer</t>
        </is>
      </c>
      <c r="I257" s="21" t="n"/>
    </row>
    <row r="258">
      <c r="A258" s="20" t="inlineStr"/>
      <c r="B258" s="21" t="inlineStr">
        <is>
          <t>Wall Finishes</t>
        </is>
      </c>
      <c r="C258" s="22" t="inlineStr"/>
      <c r="D258" s="20" t="inlineStr">
        <is>
          <t>export_only_grouping</t>
        </is>
      </c>
      <c r="E258" s="20" t="n"/>
      <c r="F258" s="20" t="n"/>
      <c r="G258" s="20" t="inlineStr">
        <is>
          <t>HIGH</t>
        </is>
      </c>
      <c r="H258" s="20" t="inlineStr">
        <is>
          <t>export_layer</t>
        </is>
      </c>
      <c r="I258" s="21" t="n"/>
    </row>
    <row r="259">
      <c r="A259" s="20" t="inlineStr"/>
      <c r="B259" s="21" t="inlineStr">
        <is>
          <t>Wet Area Linings</t>
        </is>
      </c>
      <c r="C259" s="22" t="inlineStr"/>
      <c r="D259" s="20" t="inlineStr">
        <is>
          <t>export_only_grouping</t>
        </is>
      </c>
      <c r="E259" s="20" t="n"/>
      <c r="F259" s="20" t="n"/>
      <c r="G259" s="20" t="inlineStr">
        <is>
          <t>HIGH</t>
        </is>
      </c>
      <c r="H259" s="20" t="inlineStr">
        <is>
          <t>export_layer</t>
        </is>
      </c>
      <c r="I259" s="21" t="n"/>
    </row>
    <row r="260">
      <c r="A260" s="20" t="inlineStr"/>
      <c r="B260" s="21" t="inlineStr">
        <is>
          <t>Floor Finishes</t>
        </is>
      </c>
      <c r="C260" s="22" t="inlineStr"/>
      <c r="D260" s="20" t="inlineStr">
        <is>
          <t>export_only_grouping</t>
        </is>
      </c>
      <c r="E260" s="20" t="n"/>
      <c r="F260" s="20" t="n"/>
      <c r="G260" s="20" t="inlineStr">
        <is>
          <t>HIGH</t>
        </is>
      </c>
      <c r="H260" s="20" t="inlineStr">
        <is>
          <t>export_layer</t>
        </is>
      </c>
      <c r="I260" s="21" t="n"/>
    </row>
    <row r="261" ht="18" customHeight="1">
      <c r="A261" s="30" t="inlineStr"/>
      <c r="B261" s="31" t="n"/>
      <c r="C261" s="31" t="n"/>
      <c r="D261" s="31" t="n"/>
      <c r="E261" s="31" t="n"/>
      <c r="F261" s="31" t="n"/>
      <c r="G261" s="31" t="n"/>
      <c r="H261" s="31" t="n"/>
      <c r="I261" s="31" t="n"/>
    </row>
    <row r="262">
      <c r="A262" s="50" t="inlineStr"/>
      <c r="B262" s="51" t="inlineStr">
        <is>
          <t>Paint &amp; Coatings</t>
        </is>
      </c>
      <c r="C262" s="52" t="inlineStr"/>
      <c r="D262" s="50" t="inlineStr">
        <is>
          <t>export_only_grouping</t>
        </is>
      </c>
      <c r="E262" s="50" t="n"/>
      <c r="F262" s="50" t="n"/>
      <c r="G262" s="50" t="inlineStr">
        <is>
          <t>HIGH</t>
        </is>
      </c>
      <c r="H262" s="50" t="inlineStr">
        <is>
          <t>export_layer</t>
        </is>
      </c>
      <c r="I262" s="51" t="n"/>
    </row>
    <row r="263" ht="18" customHeight="1">
      <c r="A263" s="30" t="inlineStr"/>
      <c r="B263" s="31" t="n"/>
      <c r="C263" s="31" t="n"/>
      <c r="D263" s="31" t="n"/>
      <c r="E263" s="31" t="n"/>
      <c r="F263" s="31" t="n"/>
      <c r="G263" s="31" t="n"/>
      <c r="H263" s="31" t="n"/>
      <c r="I263" s="31" t="n"/>
    </row>
    <row r="264">
      <c r="A264" s="53" t="inlineStr"/>
      <c r="B264" s="54" t="inlineStr">
        <is>
          <t>Plumbing Fixtures</t>
        </is>
      </c>
      <c r="C264" s="55" t="inlineStr"/>
      <c r="D264" s="53" t="inlineStr">
        <is>
          <t>export_only_grouping</t>
        </is>
      </c>
      <c r="E264" s="53" t="n"/>
      <c r="F264" s="53" t="n"/>
      <c r="G264" s="53" t="inlineStr">
        <is>
          <t>HIGH</t>
        </is>
      </c>
      <c r="H264" s="53" t="inlineStr">
        <is>
          <t>export_layer</t>
        </is>
      </c>
      <c r="I264" s="54" t="n"/>
    </row>
    <row r="265">
      <c r="A265" s="53" t="inlineStr"/>
      <c r="B265" s="54" t="inlineStr">
        <is>
          <t>Wet Area Finishes</t>
        </is>
      </c>
      <c r="C265" s="55" t="inlineStr"/>
      <c r="D265" s="53" t="inlineStr">
        <is>
          <t>export_only_grouping</t>
        </is>
      </c>
      <c r="E265" s="53" t="n"/>
      <c r="F265" s="53" t="n"/>
      <c r="G265" s="53" t="inlineStr">
        <is>
          <t>HIGH</t>
        </is>
      </c>
      <c r="H265" s="53" t="inlineStr">
        <is>
          <t>export_layer</t>
        </is>
      </c>
      <c r="I265" s="54" t="n"/>
    </row>
    <row r="266">
      <c r="A266" s="53" t="inlineStr"/>
      <c r="B266" s="54" t="inlineStr">
        <is>
          <t>Water Services</t>
        </is>
      </c>
      <c r="C266" s="55" t="inlineStr"/>
      <c r="D266" s="53" t="inlineStr">
        <is>
          <t>export_only_grouping</t>
        </is>
      </c>
      <c r="E266" s="53" t="n"/>
      <c r="F266" s="53" t="n"/>
      <c r="G266" s="53" t="inlineStr">
        <is>
          <t>HIGH</t>
        </is>
      </c>
      <c r="H266" s="53" t="inlineStr">
        <is>
          <t>export_layer</t>
        </is>
      </c>
      <c r="I266" s="54" t="n"/>
    </row>
    <row r="267">
      <c r="A267" s="53" t="inlineStr"/>
      <c r="B267" s="54" t="inlineStr">
        <is>
          <t>Builder's Works</t>
        </is>
      </c>
      <c r="C267" s="55" t="inlineStr"/>
      <c r="D267" s="53" t="inlineStr">
        <is>
          <t>export_only_grouping</t>
        </is>
      </c>
      <c r="E267" s="53" t="n"/>
      <c r="F267" s="53" t="n"/>
      <c r="G267" s="53" t="inlineStr">
        <is>
          <t>HIGH</t>
        </is>
      </c>
      <c r="H267" s="53" t="inlineStr">
        <is>
          <t>export_layer</t>
        </is>
      </c>
      <c r="I267" s="54" t="n"/>
    </row>
    <row r="268" ht="18" customHeight="1">
      <c r="A268" s="30" t="inlineStr"/>
      <c r="B268" s="31" t="n"/>
      <c r="C268" s="31" t="n"/>
      <c r="D268" s="31" t="n"/>
      <c r="E268" s="31" t="n"/>
      <c r="F268" s="31" t="n"/>
      <c r="G268" s="31" t="n"/>
      <c r="H268" s="31" t="n"/>
      <c r="I268" s="31" t="n"/>
    </row>
    <row r="269">
      <c r="A269" s="56" t="inlineStr"/>
      <c r="B269" s="57" t="inlineStr">
        <is>
          <t>Switchboard &amp; Protection</t>
        </is>
      </c>
      <c r="C269" s="58" t="inlineStr"/>
      <c r="D269" s="56" t="inlineStr">
        <is>
          <t>export_only_grouping</t>
        </is>
      </c>
      <c r="E269" s="56" t="n"/>
      <c r="F269" s="56" t="n"/>
      <c r="G269" s="56" t="inlineStr">
        <is>
          <t>HIGH</t>
        </is>
      </c>
      <c r="H269" s="56" t="inlineStr">
        <is>
          <t>export_layer</t>
        </is>
      </c>
      <c r="I269" s="57" t="n"/>
    </row>
    <row r="270">
      <c r="A270" s="56" t="inlineStr"/>
      <c r="B270" s="57" t="inlineStr">
        <is>
          <t>Ventilation</t>
        </is>
      </c>
      <c r="C270" s="58" t="inlineStr"/>
      <c r="D270" s="56" t="inlineStr">
        <is>
          <t>export_only_grouping</t>
        </is>
      </c>
      <c r="E270" s="56" t="n"/>
      <c r="F270" s="56" t="n"/>
      <c r="G270" s="56" t="inlineStr">
        <is>
          <t>HIGH</t>
        </is>
      </c>
      <c r="H270" s="56" t="inlineStr">
        <is>
          <t>export_layer</t>
        </is>
      </c>
      <c r="I270" s="57" t="n"/>
    </row>
    <row r="271">
      <c r="A271" s="56" t="inlineStr"/>
      <c r="B271" s="57" t="inlineStr">
        <is>
          <t>Safety Devices</t>
        </is>
      </c>
      <c r="C271" s="58" t="inlineStr"/>
      <c r="D271" s="56" t="inlineStr">
        <is>
          <t>export_only_grouping</t>
        </is>
      </c>
      <c r="E271" s="56" t="n"/>
      <c r="F271" s="56" t="n"/>
      <c r="G271" s="56" t="inlineStr">
        <is>
          <t>HIGH</t>
        </is>
      </c>
      <c r="H271" s="56" t="inlineStr">
        <is>
          <t>export_layer</t>
        </is>
      </c>
      <c r="I271" s="57" t="n"/>
    </row>
    <row r="272">
      <c r="A272" s="56" t="inlineStr"/>
      <c r="B272" s="57" t="inlineStr">
        <is>
          <t>Mechanical</t>
        </is>
      </c>
      <c r="C272" s="58" t="inlineStr"/>
      <c r="D272" s="56" t="inlineStr">
        <is>
          <t>export_only_grouping</t>
        </is>
      </c>
      <c r="E272" s="56" t="n"/>
      <c r="F272" s="56" t="n"/>
      <c r="G272" s="56" t="inlineStr">
        <is>
          <t>HIGH</t>
        </is>
      </c>
      <c r="H272" s="56" t="inlineStr">
        <is>
          <t>export_layer</t>
        </is>
      </c>
      <c r="I272" s="57" t="n"/>
    </row>
    <row r="273">
      <c r="A273" s="56" t="inlineStr"/>
      <c r="B273" s="57" t="inlineStr">
        <is>
          <t>Builder's Works</t>
        </is>
      </c>
      <c r="C273" s="58" t="inlineStr"/>
      <c r="D273" s="56" t="inlineStr">
        <is>
          <t>export_only_grouping</t>
        </is>
      </c>
      <c r="E273" s="56" t="n"/>
      <c r="F273" s="56" t="n"/>
      <c r="G273" s="56" t="inlineStr">
        <is>
          <t>HIGH</t>
        </is>
      </c>
      <c r="H273" s="56" t="inlineStr">
        <is>
          <t>export_layer</t>
        </is>
      </c>
      <c r="I273" s="57" t="n"/>
    </row>
    <row r="274" ht="18" customHeight="1">
      <c r="A274" s="30" t="inlineStr"/>
      <c r="B274" s="31" t="n"/>
      <c r="C274" s="31" t="n"/>
      <c r="D274" s="31" t="n"/>
      <c r="E274" s="31" t="n"/>
      <c r="F274" s="31" t="n"/>
      <c r="G274" s="31" t="n"/>
      <c r="H274" s="31" t="n"/>
      <c r="I274" s="31" t="n"/>
    </row>
    <row r="275">
      <c r="A275" s="9" t="inlineStr"/>
      <c r="B275" s="10" t="inlineStr">
        <is>
          <t>Stairs</t>
        </is>
      </c>
      <c r="C275" s="11" t="inlineStr"/>
      <c r="D275" s="9" t="inlineStr">
        <is>
          <t>export_only_grouping</t>
        </is>
      </c>
      <c r="E275" s="9" t="n"/>
      <c r="F275" s="9" t="n"/>
      <c r="G275" s="9" t="inlineStr">
        <is>
          <t>HIGH</t>
        </is>
      </c>
      <c r="H275" s="9" t="inlineStr">
        <is>
          <t>export_layer</t>
        </is>
      </c>
      <c r="I275" s="10" t="n"/>
    </row>
    <row r="276">
      <c r="A276" s="9" t="inlineStr"/>
      <c r="B276" s="10" t="inlineStr">
        <is>
          <t>Steel Ramp</t>
        </is>
      </c>
      <c r="C276" s="11" t="inlineStr"/>
      <c r="D276" s="9" t="inlineStr">
        <is>
          <t>export_only_grouping</t>
        </is>
      </c>
      <c r="E276" s="9" t="n"/>
      <c r="F276" s="9" t="n"/>
      <c r="G276" s="9" t="inlineStr">
        <is>
          <t>HIGH</t>
        </is>
      </c>
      <c r="H276" s="9" t="inlineStr">
        <is>
          <t>export_layer</t>
        </is>
      </c>
      <c r="I276" s="10" t="n"/>
    </row>
    <row r="277">
      <c r="A277" s="9" t="inlineStr"/>
      <c r="B277" s="10" t="inlineStr">
        <is>
          <t>Balustrades</t>
        </is>
      </c>
      <c r="C277" s="11" t="inlineStr"/>
      <c r="D277" s="9" t="inlineStr">
        <is>
          <t>export_only_grouping</t>
        </is>
      </c>
      <c r="E277" s="9" t="n"/>
      <c r="F277" s="9" t="n"/>
      <c r="G277" s="9" t="inlineStr">
        <is>
          <t>HIGH</t>
        </is>
      </c>
      <c r="H277" s="9" t="inlineStr">
        <is>
          <t>export_layer</t>
        </is>
      </c>
      <c r="I277" s="10" t="n"/>
    </row>
    <row r="278">
      <c r="A278" s="9" t="inlineStr"/>
      <c r="B278" s="10" t="inlineStr">
        <is>
          <t>Verandah Balustrade</t>
        </is>
      </c>
      <c r="C278" s="11" t="inlineStr"/>
      <c r="D278" s="9" t="inlineStr">
        <is>
          <t>export_only_grouping</t>
        </is>
      </c>
      <c r="E278" s="9" t="n"/>
      <c r="F278" s="9" t="n"/>
      <c r="G278" s="9" t="inlineStr">
        <is>
          <t>HIGH</t>
        </is>
      </c>
      <c r="H278" s="9" t="inlineStr">
        <is>
          <t>export_layer</t>
        </is>
      </c>
      <c r="I278" s="10" t="n"/>
    </row>
    <row r="279" ht="18" customHeight="1">
      <c r="A279" s="30" t="inlineStr"/>
      <c r="B279" s="31" t="n"/>
      <c r="C279" s="31" t="n"/>
      <c r="D279" s="31" t="n"/>
      <c r="E279" s="31" t="n"/>
      <c r="F279" s="31" t="n"/>
      <c r="G279" s="31" t="n"/>
      <c r="H279" s="31" t="n"/>
      <c r="I279" s="31" t="n"/>
    </row>
    <row r="280">
      <c r="A280" s="59" t="inlineStr"/>
      <c r="B280" s="60" t="inlineStr">
        <is>
          <t>Dispensary / Prep Area</t>
        </is>
      </c>
      <c r="C280" s="61" t="inlineStr"/>
      <c r="D280" s="59" t="inlineStr">
        <is>
          <t>export_only_grouping</t>
        </is>
      </c>
      <c r="E280" s="59" t="n"/>
      <c r="F280" s="59" t="n"/>
      <c r="G280" s="59" t="inlineStr">
        <is>
          <t>HIGH</t>
        </is>
      </c>
      <c r="H280" s="59" t="inlineStr">
        <is>
          <t>export_layer</t>
        </is>
      </c>
      <c r="I280" s="60" t="n"/>
    </row>
    <row r="281">
      <c r="A281" s="59" t="inlineStr"/>
      <c r="B281" s="60" t="inlineStr">
        <is>
          <t>Consulting Room</t>
        </is>
      </c>
      <c r="C281" s="61" t="inlineStr"/>
      <c r="D281" s="59" t="inlineStr">
        <is>
          <t>export_only_grouping</t>
        </is>
      </c>
      <c r="E281" s="59" t="n"/>
      <c r="F281" s="59" t="n"/>
      <c r="G281" s="59" t="inlineStr">
        <is>
          <t>HIGH</t>
        </is>
      </c>
      <c r="H281" s="59" t="inlineStr">
        <is>
          <t>export_layer</t>
        </is>
      </c>
      <c r="I281" s="60" t="n"/>
    </row>
    <row r="282">
      <c r="A282" s="59" t="inlineStr"/>
      <c r="B282" s="60" t="inlineStr">
        <is>
          <t>Toilets / Amenities</t>
        </is>
      </c>
      <c r="C282" s="61" t="inlineStr"/>
      <c r="D282" s="59" t="inlineStr">
        <is>
          <t>export_only_grouping</t>
        </is>
      </c>
      <c r="E282" s="59" t="n"/>
      <c r="F282" s="59" t="n"/>
      <c r="G282" s="59" t="inlineStr">
        <is>
          <t>HIGH</t>
        </is>
      </c>
      <c r="H282" s="59" t="inlineStr">
        <is>
          <t>export_layer</t>
        </is>
      </c>
      <c r="I282" s="60" t="n"/>
    </row>
  </sheetData>
  <autoFilter ref="A2:I28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40" customWidth="1" min="4" max="4"/>
    <col width="40" customWidth="1" min="5" max="5"/>
    <col width="6" customWidth="1" min="6" max="6"/>
    <col width="10" customWidth="1" min="7" max="7"/>
    <col width="12" customWidth="1" min="8" max="8"/>
    <col width="30" customWidth="1" min="9" max="9"/>
    <col width="50" customWidth="1" min="10" max="10"/>
    <col width="50" customWidth="1" min="11" max="11"/>
    <col width="10" customWidth="1" min="12" max="12"/>
  </cols>
  <sheetData>
    <row r="1">
      <c r="A1" s="2" t="inlineStr">
        <is>
          <t>Item No</t>
        </is>
      </c>
      <c r="B1" s="2" t="inlineStr">
        <is>
          <t>Package Code</t>
        </is>
      </c>
      <c r="C1" s="2" t="inlineStr">
        <is>
          <t>Section (Final BOQ)</t>
        </is>
      </c>
      <c r="D1" s="2" t="inlineStr">
        <is>
          <t>Item Name (Original)</t>
        </is>
      </c>
      <c r="E1" s="2" t="inlineStr">
        <is>
          <t>Item Display Name</t>
        </is>
      </c>
      <c r="F1" s="2" t="inlineStr">
        <is>
          <t>Unit</t>
        </is>
      </c>
      <c r="G1" s="2" t="inlineStr">
        <is>
          <t>Qty</t>
        </is>
      </c>
      <c r="H1" s="2" t="inlineStr">
        <is>
          <t>Status</t>
        </is>
      </c>
      <c r="I1" s="2" t="inlineStr">
        <is>
          <t>Quantity Basis</t>
        </is>
      </c>
      <c r="J1" s="2" t="inlineStr">
        <is>
          <t>Source Evidence</t>
        </is>
      </c>
      <c r="K1" s="2" t="inlineStr">
        <is>
          <t>Derivation Rule</t>
        </is>
      </c>
      <c r="L1" s="2" t="inlineStr">
        <is>
          <t>Confidence</t>
        </is>
      </c>
    </row>
    <row r="2">
      <c r="A2" s="62" t="inlineStr">
        <is>
          <t>F01</t>
        </is>
      </c>
      <c r="B2" s="62" t="inlineStr">
        <is>
          <t>50106</t>
        </is>
      </c>
      <c r="C2" s="62" t="inlineStr">
        <is>
          <t>50106 - WPC (Timber)</t>
        </is>
      </c>
      <c r="D2" s="62" t="inlineStr">
        <is>
          <t>Skirting Board</t>
        </is>
      </c>
      <c r="E2" s="62" t="inlineStr">
        <is>
          <t>Timber Skirting | 25 x 75 x 2400mm Timber</t>
        </is>
      </c>
      <c r="F2" s="62" t="inlineStr">
        <is>
          <t>lm</t>
        </is>
      </c>
      <c r="G2" s="62" t="n">
        <v>88.3</v>
      </c>
      <c r="H2" s="62" t="inlineStr">
        <is>
          <t>calculated</t>
        </is>
      </c>
      <c r="I2" s="62" t="inlineStr">
        <is>
          <t>ext_wall_lm(38.4) + int_wall_lm×2(29.4×2) − door_gaps(0.92+8.00)</t>
        </is>
      </c>
      <c r="J2" s="62" t="inlineStr">
        <is>
          <t>ext_walls: 38.40 m [dxf_geometry]; int_walls: 29.40 m [dxf_geometry]</t>
        </is>
      </c>
      <c r="K2" s="62" t="inlineStr">
        <is>
          <t>ext_wall_perimeter + int_wall_lm × 2 − door_widths</t>
        </is>
      </c>
      <c r="L2" s="62" t="inlineStr">
        <is>
          <t>MEDIUM</t>
        </is>
      </c>
    </row>
    <row r="3">
      <c r="A3" s="62" t="inlineStr">
        <is>
          <t>F04</t>
        </is>
      </c>
      <c r="B3" s="62" t="inlineStr">
        <is>
          <t>50106</t>
        </is>
      </c>
      <c r="C3" s="62" t="inlineStr">
        <is>
          <t>50106 - WPC (Timber)</t>
        </is>
      </c>
      <c r="D3" s="62" t="inlineStr">
        <is>
          <t>Floor Finish — Dry Zone (vinyl plank)</t>
        </is>
      </c>
      <c r="E3" s="62" t="inlineStr">
        <is>
          <t>Floor Finish | Vinyl Plank (Dry Zone)</t>
        </is>
      </c>
      <c r="F3" s="62" t="inlineStr">
        <is>
          <t>m2</t>
        </is>
      </c>
      <c r="G3" s="62" t="n">
        <v>60.3</v>
      </c>
      <c r="H3" s="62" t="inlineStr">
        <is>
          <t>calculated</t>
        </is>
      </c>
      <c r="I3" s="62" t="inlineStr">
        <is>
          <t>sum(dry_space.area_m2) from space model [zone: internal_dry]</t>
        </is>
      </c>
      <c r="J3" s="62" t="inlineStr">
        <is>
          <t>config_backed → space_model: Dispensary (24.0 m²), Waiting / Reception (14.0 m²), Consultation Room (8.0 m²), Staff Room (6.5 m²), Storage (7.8 m²) = 60.30 m²</t>
        </is>
      </c>
      <c r="K3" s="62" t="inlineStr">
        <is>
          <t>sum(space.area_m2 for s in spaces if not s.is_wet and s.is_enclosed)</t>
        </is>
      </c>
      <c r="L3" s="62" t="inlineStr">
        <is>
          <t>LOW</t>
        </is>
      </c>
    </row>
    <row r="4">
      <c r="A4" s="62" t="inlineStr">
        <is>
          <t>F05</t>
        </is>
      </c>
      <c r="B4" s="62" t="inlineStr">
        <is>
          <t>50106</t>
        </is>
      </c>
      <c r="C4" s="62" t="inlineStr">
        <is>
          <t>50106 - WPC (Timber)</t>
        </is>
      </c>
      <c r="D4" s="62" t="inlineStr">
        <is>
          <t>Vinyl Plank — Supply Total (10% cut waste)</t>
        </is>
      </c>
      <c r="E4" s="62" t="inlineStr">
        <is>
          <t>Vinyl Plank — Supply Total (10% cut waste)</t>
        </is>
      </c>
      <c r="F4" s="62" t="inlineStr">
        <is>
          <t>m2</t>
        </is>
      </c>
      <c r="G4" s="62" t="n">
        <v>66.3</v>
      </c>
      <c r="H4" s="62" t="inlineStr">
        <is>
          <t>calculated</t>
        </is>
      </c>
      <c r="I4" s="62" t="inlineStr">
        <is>
          <t>dry_zone_area(60.30) × 1.10 cut waste [zone: internal_dry]</t>
        </is>
      </c>
      <c r="J4" s="62" t="inlineStr">
        <is>
          <t>config_backed → space_model: Dispensary (24.0 m²), Waiting / Reception (14.0 m²), Consultation Room (8.0 m²), Staff Room (6.5 m²), Storage (7.8 m²) = 60.30 m²</t>
        </is>
      </c>
      <c r="K4" s="62" t="inlineStr">
        <is>
          <t>60.30 × 1.10</t>
        </is>
      </c>
      <c r="L4" s="62" t="inlineStr">
        <is>
          <t>LOW</t>
        </is>
      </c>
    </row>
    <row r="5">
      <c r="A5" s="62" t="inlineStr">
        <is>
          <t>F06</t>
        </is>
      </c>
      <c r="B5" s="62" t="inlineStr">
        <is>
          <t>50106</t>
        </is>
      </c>
      <c r="C5" s="62" t="inlineStr">
        <is>
          <t>50106 - WPC (Timber)</t>
        </is>
      </c>
      <c r="D5" s="62" t="inlineStr">
        <is>
          <t>Floor Finish — Wet Zone (ceramic tile)</t>
        </is>
      </c>
      <c r="E5" s="62" t="inlineStr">
        <is>
          <t>Floor Finish | Ceramic Tile (Wet Zone)</t>
        </is>
      </c>
      <c r="F5" s="62" t="inlineStr">
        <is>
          <t>m2</t>
        </is>
      </c>
      <c r="G5" s="62" t="n">
        <v>4.5</v>
      </c>
      <c r="H5" s="62" t="inlineStr">
        <is>
          <t>calculated</t>
        </is>
      </c>
      <c r="I5" s="62" t="inlineStr">
        <is>
          <t>sum(wet_space.area_m2) from space model [zone: internal_wet]</t>
        </is>
      </c>
      <c r="J5" s="62" t="inlineStr">
        <is>
          <t>config_backed → space_model: Toilet (4.5 m²) = 4.50 m²</t>
        </is>
      </c>
      <c r="K5" s="62" t="inlineStr">
        <is>
          <t>sum(space.area_m2 for s in spaces if s.is_wet and s.is_enclosed)</t>
        </is>
      </c>
      <c r="L5" s="62" t="inlineStr">
        <is>
          <t>LOW</t>
        </is>
      </c>
    </row>
    <row r="6">
      <c r="A6" s="62" t="inlineStr">
        <is>
          <t>F07</t>
        </is>
      </c>
      <c r="B6" s="62" t="inlineStr">
        <is>
          <t>50106</t>
        </is>
      </c>
      <c r="C6" s="62" t="inlineStr">
        <is>
          <t>50106 - WPC (Timber)</t>
        </is>
      </c>
      <c r="D6" s="62" t="inlineStr">
        <is>
          <t>Ceramic Floor Tile — Supply Total (15% cut waste)</t>
        </is>
      </c>
      <c r="E6" s="62" t="inlineStr">
        <is>
          <t>Ceramic Floor Tile — Supply Total (15% cut waste)</t>
        </is>
      </c>
      <c r="F6" s="62" t="inlineStr">
        <is>
          <t>m2</t>
        </is>
      </c>
      <c r="G6" s="62" t="n">
        <v>5.17</v>
      </c>
      <c r="H6" s="62" t="inlineStr">
        <is>
          <t>calculated</t>
        </is>
      </c>
      <c r="I6" s="62" t="inlineStr">
        <is>
          <t>wet_floor_area(4.50) × 1.15 cut waste</t>
        </is>
      </c>
      <c r="J6" s="62" t="inlineStr">
        <is>
          <t>config_backed → space_model: Toilet (4.5 m²) = 4.50 m²</t>
        </is>
      </c>
      <c r="K6" s="62" t="inlineStr">
        <is>
          <t>4.50 × 1.15</t>
        </is>
      </c>
      <c r="L6" s="62" t="inlineStr">
        <is>
          <t>LOW</t>
        </is>
      </c>
    </row>
    <row r="7">
      <c r="A7" s="62" t="inlineStr">
        <is>
          <t>F08</t>
        </is>
      </c>
      <c r="B7" s="62" t="inlineStr">
        <is>
          <t>50106</t>
        </is>
      </c>
      <c r="C7" s="62" t="inlineStr">
        <is>
          <t>50106 - WPC (Timber)</t>
        </is>
      </c>
      <c r="D7" s="62" t="inlineStr">
        <is>
          <t>Floor Tile Adhesive — Wet Area (20kg bag)</t>
        </is>
      </c>
      <c r="E7" s="62" t="inlineStr">
        <is>
          <t>Floor Tile Adhesive — Wet Area (20kg bag)</t>
        </is>
      </c>
      <c r="F7" s="62" t="inlineStr">
        <is>
          <t>bags</t>
        </is>
      </c>
      <c r="G7" s="62" t="n">
        <v>2</v>
      </c>
      <c r="H7" s="62" t="inlineStr">
        <is>
          <t>calculated</t>
        </is>
      </c>
      <c r="I7" s="62" t="inlineStr">
        <is>
          <t>ceil(wet_floor_area / 4 m² per bag)</t>
        </is>
      </c>
      <c r="J7" s="62" t="inlineStr">
        <is>
          <t>config_backed → space_model: Toilet (4.5 m²) = 4.50 m²</t>
        </is>
      </c>
      <c r="K7" s="62" t="inlineStr">
        <is>
          <t>ceil(wet_area / 4.0)</t>
        </is>
      </c>
      <c r="L7" s="62" t="inlineStr">
        <is>
          <t>LOW</t>
        </is>
      </c>
    </row>
    <row r="8">
      <c r="A8" s="62" t="inlineStr">
        <is>
          <t>F09</t>
        </is>
      </c>
      <c r="B8" s="62" t="inlineStr">
        <is>
          <t>50106</t>
        </is>
      </c>
      <c r="C8" s="62" t="inlineStr">
        <is>
          <t>50106 - WPC (Timber)</t>
        </is>
      </c>
      <c r="D8" s="62" t="inlineStr">
        <is>
          <t>Floor Tile Grout — Wet Area (3kg bag)</t>
        </is>
      </c>
      <c r="E8" s="62" t="inlineStr">
        <is>
          <t>Floor Tile Grout — Wet Area (3kg bag)</t>
        </is>
      </c>
      <c r="F8" s="62" t="inlineStr">
        <is>
          <t>bags</t>
        </is>
      </c>
      <c r="G8" s="62" t="n">
        <v>1</v>
      </c>
      <c r="H8" s="62" t="inlineStr">
        <is>
          <t>calculated</t>
        </is>
      </c>
      <c r="I8" s="62" t="inlineStr">
        <is>
          <t>ceil(wet_floor_area / 6 m² per bag)</t>
        </is>
      </c>
      <c r="J8" s="62" t="inlineStr">
        <is>
          <t>config_backed → space_model: Toilet (4.5 m²) = 4.50 m²</t>
        </is>
      </c>
      <c r="K8" s="62" t="inlineStr">
        <is>
          <t>ceil(wet_area / 6.0)</t>
        </is>
      </c>
      <c r="L8" s="62" t="inlineStr">
        <is>
          <t>LOW</t>
        </is>
      </c>
    </row>
    <row r="9">
      <c r="A9" s="62" t="inlineStr">
        <is>
          <t>F10</t>
        </is>
      </c>
      <c r="B9" s="62" t="inlineStr">
        <is>
          <t>50106</t>
        </is>
      </c>
      <c r="C9" s="62" t="inlineStr">
        <is>
          <t>50106 - WPC (Timber)</t>
        </is>
      </c>
      <c r="D9" s="62" t="inlineStr">
        <is>
          <t>Paint — External</t>
        </is>
      </c>
      <c r="E9" s="62" t="inlineStr">
        <is>
          <t>Paint | External, two coats</t>
        </is>
      </c>
      <c r="F9" s="62" t="inlineStr">
        <is>
          <t>m2</t>
        </is>
      </c>
      <c r="G9" s="62" t="n">
        <v>92.16</v>
      </c>
      <c r="H9" s="62" t="inlineStr">
        <is>
          <t>calculated</t>
        </is>
      </c>
      <c r="I9" s="62" t="inlineStr">
        <is>
          <t>ext_wall_perimeter × wall_height</t>
        </is>
      </c>
      <c r="J9" s="62" t="inlineStr">
        <is>
          <t>dxf_geometry: ext_wall_lm=38.40 × h=2.4</t>
        </is>
      </c>
      <c r="K9" s="62" t="inlineStr">
        <is>
          <t>38.40 × 2.4</t>
        </is>
      </c>
      <c r="L9" s="62" t="inlineStr">
        <is>
          <t>MEDIUM</t>
        </is>
      </c>
    </row>
    <row r="10">
      <c r="A10" s="62" t="inlineStr">
        <is>
          <t>F11</t>
        </is>
      </c>
      <c r="B10" s="62" t="inlineStr">
        <is>
          <t>50106</t>
        </is>
      </c>
      <c r="C10" s="62" t="inlineStr">
        <is>
          <t>50106 - WPC (Timber)</t>
        </is>
      </c>
      <c r="D10" s="62" t="inlineStr">
        <is>
          <t>Paint — Internal</t>
        </is>
      </c>
      <c r="E10" s="62" t="inlineStr">
        <is>
          <t>Paint | Internal, two coats</t>
        </is>
      </c>
      <c r="F10" s="62" t="inlineStr">
        <is>
          <t>m2</t>
        </is>
      </c>
      <c r="G10" s="62" t="n">
        <v>190.12</v>
      </c>
      <c r="H10" s="62" t="inlineStr">
        <is>
          <t>calculated</t>
        </is>
      </c>
      <c r="I10" s="62" t="inlineStr">
        <is>
          <t>ceiling_area(49.00) + int_wall_both_faces(141.12)</t>
        </is>
      </c>
      <c r="J10" s="62" t="inlineStr">
        <is>
          <t>ceiling_area=49.00 m²; int_wall_lm=29.40 m × 2 faces [dxf_geometry]</t>
        </is>
      </c>
      <c r="K10" s="62" t="inlineStr">
        <is>
          <t>ceiling_area + sum(int_wall.area_m2)  [area_m2 = lm × h × 2 faces]</t>
        </is>
      </c>
      <c r="L10" s="62" t="inlineStr">
        <is>
          <t>MEDIUM</t>
        </is>
      </c>
    </row>
    <row r="11">
      <c r="A11" s="62" t="inlineStr">
        <is>
          <t>F12</t>
        </is>
      </c>
      <c r="B11" s="62" t="inlineStr">
        <is>
          <t>50106</t>
        </is>
      </c>
      <c r="C11" s="62" t="inlineStr">
        <is>
          <t>50106 - WPC (Timber)</t>
        </is>
      </c>
      <c r="D11" s="62" t="inlineStr">
        <is>
          <t>Paint Primer / Sealer Coat (10L can)</t>
        </is>
      </c>
      <c r="E11" s="62" t="inlineStr">
        <is>
          <t>Paint | Wall / Ceiling</t>
        </is>
      </c>
      <c r="F11" s="62" t="inlineStr">
        <is>
          <t>cans</t>
        </is>
      </c>
      <c r="G11" s="62" t="n">
        <v>24</v>
      </c>
      <c r="H11" s="62" t="inlineStr">
        <is>
          <t>calculated</t>
        </is>
      </c>
      <c r="I11" s="62" t="inlineStr">
        <is>
          <t>ceil((ext_paint(92.16) + int_paint(190.12)) / 12 m² per can)</t>
        </is>
      </c>
      <c r="J11" s="62" t="inlineStr">
        <is>
          <t>total_paint_area=282.28 m² (ext=92.16 + int=190.12)</t>
        </is>
      </c>
      <c r="K11" s="62" t="inlineStr">
        <is>
          <t>ceil(total_paint_area / 12.0)</t>
        </is>
      </c>
      <c r="L11" s="62" t="inlineStr">
        <is>
          <t>LOW</t>
        </is>
      </c>
    </row>
    <row r="12">
      <c r="A12" s="62" t="inlineStr">
        <is>
          <t>A01</t>
        </is>
      </c>
      <c r="B12" s="62" t="inlineStr">
        <is>
          <t>50107</t>
        </is>
      </c>
      <c r="C12" s="62" t="inlineStr">
        <is>
          <t>50107 - Structural &amp; Base Steel &amp; Footings</t>
        </is>
      </c>
      <c r="D12" s="62" t="inlineStr">
        <is>
          <t>Roof Panel Frame (purlin / roof panel 89S41)</t>
        </is>
      </c>
      <c r="E12" s="62" t="inlineStr">
        <is>
          <t>Roof Panel System — LGS</t>
        </is>
      </c>
      <c r="F12" s="62" t="inlineStr">
        <is>
          <t>lm</t>
        </is>
      </c>
      <c r="G12" s="62" t="n">
        <v>481.74</v>
      </c>
      <c r="H12" s="62" t="inlineStr">
        <is>
          <t>measured</t>
        </is>
      </c>
      <c r="I12" s="62" t="inlineStr">
        <is>
          <t>direct from framecad_bom</t>
        </is>
      </c>
      <c r="J12" s="62" t="inlineStr">
        <is>
          <t>framecad_bom: Tab Roof Panels</t>
        </is>
      </c>
      <c r="K12" s="62" t="inlineStr">
        <is>
          <t>direct from source</t>
        </is>
      </c>
      <c r="L12" s="62" t="inlineStr">
        <is>
          <t>HIGH</t>
        </is>
      </c>
    </row>
    <row r="13">
      <c r="A13" s="62" t="inlineStr">
        <is>
          <t>A02</t>
        </is>
      </c>
      <c r="B13" s="62" t="inlineStr">
        <is>
          <t>50107</t>
        </is>
      </c>
      <c r="C13" s="62" t="inlineStr">
        <is>
          <t>50107 - Structural &amp; Base Steel &amp; Footings</t>
        </is>
      </c>
      <c r="D13" s="62" t="inlineStr">
        <is>
          <t>Roof Truss Frame (truss chord + web 89S41)</t>
        </is>
      </c>
      <c r="E13" s="62" t="inlineStr">
        <is>
          <t>Roof Truss System — LGS</t>
        </is>
      </c>
      <c r="F13" s="62" t="inlineStr">
        <is>
          <t>lm</t>
        </is>
      </c>
      <c r="G13" s="62" t="n">
        <v>1634.29</v>
      </c>
      <c r="H13" s="62" t="inlineStr">
        <is>
          <t>measured</t>
        </is>
      </c>
      <c r="I13" s="62" t="inlineStr">
        <is>
          <t>direct from framecad_bom</t>
        </is>
      </c>
      <c r="J13" s="62" t="inlineStr">
        <is>
          <t>framecad_bom: Tab Roof Trusses</t>
        </is>
      </c>
      <c r="K13" s="62" t="inlineStr">
        <is>
          <t>direct from source</t>
        </is>
      </c>
      <c r="L13" s="62" t="inlineStr">
        <is>
          <t>HIGH</t>
        </is>
      </c>
    </row>
    <row r="14">
      <c r="A14" s="62" t="inlineStr">
        <is>
          <t>A03</t>
        </is>
      </c>
      <c r="B14" s="62" t="inlineStr">
        <is>
          <t>50107</t>
        </is>
      </c>
      <c r="C14" s="62" t="inlineStr">
        <is>
          <t>50107 - Structural &amp; Base Steel &amp; Footings</t>
        </is>
      </c>
      <c r="D14" s="62" t="inlineStr">
        <is>
          <t>Wall Frame — all wall members 89S41</t>
        </is>
      </c>
      <c r="E14" s="62" t="inlineStr">
        <is>
          <t>Wall Framing System — LGS</t>
        </is>
      </c>
      <c r="F14" s="62" t="inlineStr">
        <is>
          <t>lm</t>
        </is>
      </c>
      <c r="G14" s="62" t="n">
        <v>2250.69</v>
      </c>
      <c r="H14" s="62" t="inlineStr">
        <is>
          <t>measured</t>
        </is>
      </c>
      <c r="I14" s="62" t="inlineStr">
        <is>
          <t>direct from framecad_bom</t>
        </is>
      </c>
      <c r="J14" s="62" t="inlineStr">
        <is>
          <t>framecad_bom: Tab Wall Panels</t>
        </is>
      </c>
      <c r="K14" s="62" t="inlineStr">
        <is>
          <t>direct from source</t>
        </is>
      </c>
      <c r="L14" s="62" t="inlineStr">
        <is>
          <t>HIGH</t>
        </is>
      </c>
    </row>
    <row r="15">
      <c r="A15" s="62" t="inlineStr">
        <is>
          <t>A04</t>
        </is>
      </c>
      <c r="B15" s="62" t="inlineStr">
        <is>
          <t>50107</t>
        </is>
      </c>
      <c r="C15" s="62" t="inlineStr">
        <is>
          <t>50107 - Structural &amp; Base Steel &amp; Footings</t>
        </is>
      </c>
      <c r="D15" s="62" t="inlineStr">
        <is>
          <t>Wall Frame — lintel 150×32×0.95</t>
        </is>
      </c>
      <c r="E15" s="62" t="inlineStr">
        <is>
          <t>Wall Framing System — LGS</t>
        </is>
      </c>
      <c r="F15" s="62" t="inlineStr">
        <is>
          <t>lm</t>
        </is>
      </c>
      <c r="G15" s="62" t="n">
        <v>3.57</v>
      </c>
      <c r="H15" s="62" t="inlineStr">
        <is>
          <t>measured</t>
        </is>
      </c>
      <c r="I15" s="62" t="inlineStr">
        <is>
          <t>direct from framecad_bom</t>
        </is>
      </c>
      <c r="J15" s="62" t="inlineStr">
        <is>
          <t>framecad_bom: Lintel entries</t>
        </is>
      </c>
      <c r="K15" s="62" t="inlineStr">
        <is>
          <t>direct from source</t>
        </is>
      </c>
      <c r="L15" s="62" t="inlineStr">
        <is>
          <t>HIGH</t>
        </is>
      </c>
    </row>
    <row r="16">
      <c r="A16" s="62" t="inlineStr">
        <is>
          <t>A05</t>
        </is>
      </c>
      <c r="B16" s="62" t="inlineStr">
        <is>
          <t>50107</t>
        </is>
      </c>
      <c r="C16" s="62" t="inlineStr">
        <is>
          <t>50107 - Structural &amp; Base Steel &amp; Footings</t>
        </is>
      </c>
      <c r="D16" s="62" t="inlineStr">
        <is>
          <t>Wall Frame — diagonal strap 32×0.95</t>
        </is>
      </c>
      <c r="E16" s="62" t="inlineStr">
        <is>
          <t>Wall Framing System — LGS</t>
        </is>
      </c>
      <c r="F16" s="62" t="inlineStr">
        <is>
          <t>lm</t>
        </is>
      </c>
      <c r="G16" s="62" t="n">
        <v>49.73</v>
      </c>
      <c r="H16" s="62" t="inlineStr">
        <is>
          <t>measured</t>
        </is>
      </c>
      <c r="I16" s="62" t="inlineStr">
        <is>
          <t>direct from framecad_bom</t>
        </is>
      </c>
      <c r="J16" s="62" t="inlineStr">
        <is>
          <t>framecad_bom: Strap entries</t>
        </is>
      </c>
      <c r="K16" s="62" t="inlineStr">
        <is>
          <t>direct from source</t>
        </is>
      </c>
      <c r="L16" s="62" t="inlineStr">
        <is>
          <t>HIGH</t>
        </is>
      </c>
    </row>
    <row r="17">
      <c r="A17" s="62" t="inlineStr">
        <is>
          <t>A06</t>
        </is>
      </c>
      <c r="B17" s="62" t="inlineStr">
        <is>
          <t>50107</t>
        </is>
      </c>
      <c r="C17" s="62" t="inlineStr">
        <is>
          <t>50107 - Structural &amp; Base Steel &amp; Footings</t>
        </is>
      </c>
      <c r="D17" s="62" t="inlineStr">
        <is>
          <t>Verandah Frame — 89S41</t>
        </is>
      </c>
      <c r="E17" s="62" t="inlineStr">
        <is>
          <t>External Works | Verandah Frame</t>
        </is>
      </c>
      <c r="F17" s="62" t="inlineStr">
        <is>
          <t>lm</t>
        </is>
      </c>
      <c r="G17" s="62" t="n">
        <v>69.91</v>
      </c>
      <c r="H17" s="62" t="inlineStr">
        <is>
          <t>measured</t>
        </is>
      </c>
      <c r="I17" s="62" t="inlineStr">
        <is>
          <t>direct from ifc_model</t>
        </is>
      </c>
      <c r="J17" s="62" t="inlineStr">
        <is>
          <t>ifc_model: V1/verandah members</t>
        </is>
      </c>
      <c r="K17" s="62" t="inlineStr">
        <is>
          <t>direct from source</t>
        </is>
      </c>
      <c r="L17" s="62" t="inlineStr">
        <is>
          <t>HIGH</t>
        </is>
      </c>
    </row>
    <row r="18">
      <c r="A18" s="62" t="inlineStr">
        <is>
          <t>A07</t>
        </is>
      </c>
      <c r="B18" s="62" t="inlineStr">
        <is>
          <t>50107</t>
        </is>
      </c>
      <c r="C18" s="62" t="inlineStr">
        <is>
          <t>50107 - Structural &amp; Base Steel &amp; Footings</t>
        </is>
      </c>
      <c r="D18" s="62" t="inlineStr">
        <is>
          <t>Structural Steel Post (75×75×4 SHS)</t>
        </is>
      </c>
      <c r="E18" s="62" t="inlineStr">
        <is>
          <t>Steel Post | 75 x 4mm SHS, Q345, HDG600</t>
        </is>
      </c>
      <c r="F18" s="62" t="inlineStr">
        <is>
          <t>lm</t>
        </is>
      </c>
      <c r="G18" s="62" t="n">
        <v>96.69</v>
      </c>
      <c r="H18" s="62" t="inlineStr">
        <is>
          <t>measured</t>
        </is>
      </c>
      <c r="I18" s="62" t="inlineStr">
        <is>
          <t>direct from ifc_model</t>
        </is>
      </c>
      <c r="J18" s="62" t="inlineStr">
        <is>
          <t>ifc_model: SHS steel</t>
        </is>
      </c>
      <c r="K18" s="62" t="inlineStr">
        <is>
          <t>direct from source</t>
        </is>
      </c>
      <c r="L18" s="62" t="inlineStr">
        <is>
          <t>HIGH</t>
        </is>
      </c>
    </row>
    <row r="19">
      <c r="A19" s="62" t="inlineStr">
        <is>
          <t>A08</t>
        </is>
      </c>
      <c r="B19" s="62" t="inlineStr">
        <is>
          <t>50107</t>
        </is>
      </c>
      <c r="C19" s="62" t="inlineStr">
        <is>
          <t>50107 - Structural &amp; Base Steel &amp; Footings</t>
        </is>
      </c>
      <c r="D19" s="62" t="inlineStr">
        <is>
          <t>Roof Battens (FRAMECAD BATTEN — all zones)</t>
        </is>
      </c>
      <c r="E19" s="62" t="inlineStr">
        <is>
          <t>Roof Batten | 41mm Top Hat, G550, Z275</t>
        </is>
      </c>
      <c r="F19" s="62" t="inlineStr">
        <is>
          <t>lm</t>
        </is>
      </c>
      <c r="G19" s="62" t="n">
        <v>1385.3</v>
      </c>
      <c r="H19" s="62" t="inlineStr">
        <is>
          <t>measured</t>
        </is>
      </c>
      <c r="I19" s="62" t="inlineStr">
        <is>
          <t>framecad_bom: BATTEN schedule total</t>
        </is>
      </c>
      <c r="J19" s="62" t="inlineStr">
        <is>
          <t>framecad_bom: FrameCAD BATTEN entries</t>
        </is>
      </c>
      <c r="K19" s="62" t="inlineStr">
        <is>
          <t>direct from BOM</t>
        </is>
      </c>
      <c r="L19" s="62" t="inlineStr">
        <is>
          <t>HIGH</t>
        </is>
      </c>
    </row>
    <row r="20">
      <c r="A20" s="62" t="inlineStr">
        <is>
          <t>A09</t>
        </is>
      </c>
      <c r="B20" s="62" t="inlineStr">
        <is>
          <t>50107</t>
        </is>
      </c>
      <c r="C20" s="62" t="inlineStr">
        <is>
          <t>50107 - Structural &amp; Base Steel &amp; Footings</t>
        </is>
      </c>
      <c r="D20" s="62" t="inlineStr">
        <is>
          <t>Ceiling/Wall Batten G22 × 4800mm</t>
        </is>
      </c>
      <c r="E20" s="62" t="inlineStr">
        <is>
          <t>Ceiling Batten | G22, 4800mm</t>
        </is>
      </c>
      <c r="F20" s="62" t="inlineStr">
        <is>
          <t>nr</t>
        </is>
      </c>
      <c r="G20" s="62" t="n">
        <v>176</v>
      </c>
      <c r="H20" s="62" t="inlineStr">
        <is>
          <t>measured</t>
        </is>
      </c>
      <c r="I20" s="62" t="inlineStr">
        <is>
          <t>framecad_bom: 176 × 4800mm = 844.8 lm</t>
        </is>
      </c>
      <c r="J20" s="62" t="inlineStr">
        <is>
          <t>framecad_bom: BATTEN 22 176 4800</t>
        </is>
      </c>
      <c r="K20" s="62" t="inlineStr">
        <is>
          <t>176 nr × 4800mm</t>
        </is>
      </c>
      <c r="L20" s="62" t="inlineStr">
        <is>
          <t>LOW</t>
        </is>
      </c>
    </row>
    <row r="21">
      <c r="A21" s="62" t="inlineStr">
        <is>
          <t>A10</t>
        </is>
      </c>
      <c r="B21" s="62" t="inlineStr">
        <is>
          <t>50107</t>
        </is>
      </c>
      <c r="C21" s="62" t="inlineStr">
        <is>
          <t>50107 - Structural &amp; Base Steel &amp; Footings</t>
        </is>
      </c>
      <c r="D21" s="62" t="inlineStr">
        <is>
          <t>Ceiling/Wall Batten G22 × 6100mm</t>
        </is>
      </c>
      <c r="E21" s="62" t="inlineStr">
        <is>
          <t>Ceiling Batten | G22, 6100mm</t>
        </is>
      </c>
      <c r="F21" s="62" t="inlineStr">
        <is>
          <t>nr</t>
        </is>
      </c>
      <c r="G21" s="62" t="n">
        <v>5</v>
      </c>
      <c r="H21" s="62" t="inlineStr">
        <is>
          <t>measured</t>
        </is>
      </c>
      <c r="I21" s="62" t="inlineStr">
        <is>
          <t>framecad_bom: 5 × 6100mm = 30.5 lm</t>
        </is>
      </c>
      <c r="J21" s="62" t="inlineStr">
        <is>
          <t>framecad_bom: BATTEN 22 5 6100</t>
        </is>
      </c>
      <c r="K21" s="62" t="inlineStr">
        <is>
          <t>5 nr × 6100mm</t>
        </is>
      </c>
      <c r="L21" s="62" t="inlineStr">
        <is>
          <t>LOW</t>
        </is>
      </c>
    </row>
    <row r="22">
      <c r="A22" s="62" t="inlineStr">
        <is>
          <t>A11</t>
        </is>
      </c>
      <c r="B22" s="62" t="inlineStr">
        <is>
          <t>50107</t>
        </is>
      </c>
      <c r="C22" s="62" t="inlineStr">
        <is>
          <t>50107 - Structural &amp; Base Steel &amp; Footings</t>
        </is>
      </c>
      <c r="D22" s="62" t="inlineStr">
        <is>
          <t>Roof Top-Hat Batten G40 × 6000mm</t>
        </is>
      </c>
      <c r="E22" s="62" t="inlineStr">
        <is>
          <t>Roof Batten | 41mm Top Hat, G550, Z275, 6000mm</t>
        </is>
      </c>
      <c r="F22" s="62" t="inlineStr">
        <is>
          <t>nr</t>
        </is>
      </c>
      <c r="G22" s="62" t="n">
        <v>85</v>
      </c>
      <c r="H22" s="62" t="inlineStr">
        <is>
          <t>measured</t>
        </is>
      </c>
      <c r="I22" s="62" t="inlineStr">
        <is>
          <t>framecad_bom: 85 × 6000mm = 510.0 lm</t>
        </is>
      </c>
      <c r="J22" s="62" t="inlineStr">
        <is>
          <t>framecad_bom: BATTEN 40 85 6000</t>
        </is>
      </c>
      <c r="K22" s="62" t="inlineStr">
        <is>
          <t>85 nr × 6000mm</t>
        </is>
      </c>
      <c r="L22" s="62" t="inlineStr">
        <is>
          <t>MEDIUM</t>
        </is>
      </c>
    </row>
    <row r="23">
      <c r="A23" s="62" t="inlineStr">
        <is>
          <t>G01</t>
        </is>
      </c>
      <c r="B23" s="62" t="inlineStr">
        <is>
          <t>50107</t>
        </is>
      </c>
      <c r="C23" s="62" t="inlineStr">
        <is>
          <t>50107 - Structural &amp; Base Steel &amp; Footings</t>
        </is>
      </c>
      <c r="D23" s="62" t="inlineStr">
        <is>
          <t>Floor Cassette Panel — 3000mm × 2394mm</t>
        </is>
      </c>
      <c r="E23" s="62" t="inlineStr">
        <is>
          <t>Floor Cassette Panel</t>
        </is>
      </c>
      <c r="F23" s="62" t="inlineStr">
        <is>
          <t>nr</t>
        </is>
      </c>
      <c r="G23" s="62" t="n">
        <v>9</v>
      </c>
      <c r="H23" s="62" t="inlineStr">
        <is>
          <t>calculated</t>
        </is>
      </c>
      <c r="I23" s="62" t="inlineStr">
        <is>
          <t>DWG geometry: floor_area / panel_area = main_floor_area / (3000mm×2394mm=7.1820m²)</t>
        </is>
      </c>
      <c r="J23" s="62" t="inlineStr">
        <is>
          <t>framecad_dwg: DWG Layouts:Onpage FLayout — 9 panels × 3000mm×2394mm; J1×7 E1+E2×2 S1+S2×2</t>
        </is>
      </c>
      <c r="K23" s="62" t="inlineStr">
        <is>
          <t>floor_area / 7.182m² per panel → 9 panels</t>
        </is>
      </c>
      <c r="L23" s="62" t="inlineStr">
        <is>
          <t>MEDIUM</t>
        </is>
      </c>
    </row>
    <row r="24">
      <c r="A24" s="62" t="inlineStr">
        <is>
          <t>G02</t>
        </is>
      </c>
      <c r="B24" s="62" t="inlineStr">
        <is>
          <t>50107</t>
        </is>
      </c>
      <c r="C24" s="62" t="inlineStr">
        <is>
          <t>50107 - Structural &amp; Base Steel &amp; Footings</t>
        </is>
      </c>
      <c r="D24" s="62" t="inlineStr">
        <is>
          <t>Floor Cassette Panel — Total Area (9 panels)</t>
        </is>
      </c>
      <c r="E24" s="62" t="inlineStr">
        <is>
          <t>Floor Cassette Panel</t>
        </is>
      </c>
      <c r="F24" s="62" t="inlineStr">
        <is>
          <t>m2</t>
        </is>
      </c>
      <c r="G24" s="62" t="n">
        <v>64.64</v>
      </c>
      <c r="H24" s="62" t="inlineStr">
        <is>
          <t>calculated</t>
        </is>
      </c>
      <c r="I24" s="62" t="inlineStr">
        <is>
          <t>DWG geometry: 9 panels × 7.1820m² per panel (3000mm×2394mm)</t>
        </is>
      </c>
      <c r="J24" s="62" t="inlineStr">
        <is>
          <t>framecad_dwg: DWG Layouts:Onpage FLayout — 9 panels × 3000mm×2394mm; J1×7 E1+E2×2 S1+S2×2</t>
        </is>
      </c>
      <c r="K24" s="62" t="inlineStr">
        <is>
          <t>9 × 7.1820</t>
        </is>
      </c>
      <c r="L24" s="62" t="inlineStr">
        <is>
          <t>MEDIUM</t>
        </is>
      </c>
    </row>
    <row r="25">
      <c r="A25" s="62" t="inlineStr">
        <is>
          <t>G03</t>
        </is>
      </c>
      <c r="B25" s="62" t="inlineStr">
        <is>
          <t>50107</t>
        </is>
      </c>
      <c r="C25" s="62" t="inlineStr">
        <is>
          <t>50107 - Structural &amp; Base Steel &amp; Footings</t>
        </is>
      </c>
      <c r="D25" s="62" t="inlineStr">
        <is>
          <t>Floor Joist (J1) — 150S41-095-500 × 2394mm</t>
        </is>
      </c>
      <c r="E25" s="62" t="inlineStr">
        <is>
          <t>Floor Joist</t>
        </is>
      </c>
      <c r="F25" s="62" t="inlineStr">
        <is>
          <t>nr</t>
        </is>
      </c>
      <c r="G25" s="62" t="n">
        <v>63</v>
      </c>
      <c r="H25" s="62" t="inlineStr">
        <is>
          <t>calculated</t>
        </is>
      </c>
      <c r="I25" s="62" t="inlineStr">
        <is>
          <t>DWG schedule: 7 J1/panel (HIGH) × 9 panels (MEDIUM) = 63</t>
        </is>
      </c>
      <c r="J25" s="62" t="inlineStr">
        <is>
          <t>framecad_dwg: DWG Layouts:Onpage FLayout — 9 panels × 3000mm×2394mm; J1×7 E1+E2×2 S1+S2×2</t>
        </is>
      </c>
      <c r="K25" s="62" t="inlineStr">
        <is>
          <t>7 × 9 = 63</t>
        </is>
      </c>
      <c r="L25" s="62" t="inlineStr">
        <is>
          <t>MEDIUM</t>
        </is>
      </c>
    </row>
    <row r="26">
      <c r="A26" s="62" t="inlineStr">
        <is>
          <t>G04</t>
        </is>
      </c>
      <c r="B26" s="62" t="inlineStr">
        <is>
          <t>50107</t>
        </is>
      </c>
      <c r="C26" s="62" t="inlineStr">
        <is>
          <t>50107 - Structural &amp; Base Steel &amp; Footings</t>
        </is>
      </c>
      <c r="D26" s="62" t="inlineStr">
        <is>
          <t>Floor Joist (J1) — 150S41-095-500 (total lm)</t>
        </is>
      </c>
      <c r="E26" s="62" t="inlineStr">
        <is>
          <t>Floor Joist</t>
        </is>
      </c>
      <c r="F26" s="62" t="inlineStr">
        <is>
          <t>lm</t>
        </is>
      </c>
      <c r="G26" s="62" t="n">
        <v>150.82</v>
      </c>
      <c r="H26" s="62" t="inlineStr">
        <is>
          <t>calculated</t>
        </is>
      </c>
      <c r="I26" s="62" t="inlineStr">
        <is>
          <t>DWG schedule: 63 joists × 2394mm / 1000 = 150.82 lm</t>
        </is>
      </c>
      <c r="J26" s="62" t="inlineStr">
        <is>
          <t>framecad_dwg: DWG Layouts:Onpage FLayout — 9 panels × 3000mm×2394mm; J1×7 E1+E2×2 S1+S2×2</t>
        </is>
      </c>
      <c r="K26" s="62" t="inlineStr">
        <is>
          <t>63 × 2394/1000 = 150.82</t>
        </is>
      </c>
      <c r="L26" s="62" t="inlineStr">
        <is>
          <t>MEDIUM</t>
        </is>
      </c>
    </row>
    <row r="27">
      <c r="A27" s="62" t="inlineStr">
        <is>
          <t>G05</t>
        </is>
      </c>
      <c r="B27" s="62" t="inlineStr">
        <is>
          <t>50107</t>
        </is>
      </c>
      <c r="C27" s="62" t="inlineStr">
        <is>
          <t>50107 - Structural &amp; Base Steel &amp; Footings</t>
        </is>
      </c>
      <c r="D27" s="62" t="inlineStr">
        <is>
          <t>Floor Edge Beam (E1+E2) — 150P41-115-500 × 3000mm</t>
        </is>
      </c>
      <c r="E27" s="62" t="inlineStr">
        <is>
          <t>Floor Edge Beam</t>
        </is>
      </c>
      <c r="F27" s="62" t="inlineStr">
        <is>
          <t>nr</t>
        </is>
      </c>
      <c r="G27" s="62" t="n">
        <v>18</v>
      </c>
      <c r="H27" s="62" t="inlineStr">
        <is>
          <t>calculated</t>
        </is>
      </c>
      <c r="I27" s="62" t="inlineStr">
        <is>
          <t>DWG schedule: 2 edge beams/panel (HIGH) × 9 panels (MEDIUM) = 18</t>
        </is>
      </c>
      <c r="J27" s="62" t="inlineStr">
        <is>
          <t>framecad_dwg: DWG Layouts:Onpage FLayout — 9 panels × 3000mm×2394mm; J1×7 E1+E2×2 S1+S2×2</t>
        </is>
      </c>
      <c r="K27" s="62" t="inlineStr">
        <is>
          <t>2 × 9 = 18</t>
        </is>
      </c>
      <c r="L27" s="62" t="inlineStr">
        <is>
          <t>MEDIUM</t>
        </is>
      </c>
    </row>
    <row r="28">
      <c r="A28" s="62" t="inlineStr">
        <is>
          <t>G06</t>
        </is>
      </c>
      <c r="B28" s="62" t="inlineStr">
        <is>
          <t>50107</t>
        </is>
      </c>
      <c r="C28" s="62" t="inlineStr">
        <is>
          <t>50107 - Structural &amp; Base Steel &amp; Footings</t>
        </is>
      </c>
      <c r="D28" s="62" t="inlineStr">
        <is>
          <t>Floor Edge Beam (E1+E2) — 150P41-115-500 (total lm)</t>
        </is>
      </c>
      <c r="E28" s="62" t="inlineStr">
        <is>
          <t>Floor Edge Beam</t>
        </is>
      </c>
      <c r="F28" s="62" t="inlineStr">
        <is>
          <t>lm</t>
        </is>
      </c>
      <c r="G28" s="62" t="n">
        <v>54</v>
      </c>
      <c r="H28" s="62" t="inlineStr">
        <is>
          <t>calculated</t>
        </is>
      </c>
      <c r="I28" s="62" t="inlineStr">
        <is>
          <t>DWG schedule: 18 edge beams × 3000mm / 1000 = 54.00 lm</t>
        </is>
      </c>
      <c r="J28" s="62" t="inlineStr">
        <is>
          <t>framecad_dwg: DWG Layouts:Onpage FLayout — 9 panels × 3000mm×2394mm; J1×7 E1+E2×2 S1+S2×2</t>
        </is>
      </c>
      <c r="K28" s="62" t="inlineStr">
        <is>
          <t>18 × 3000/1000 = 54.00</t>
        </is>
      </c>
      <c r="L28" s="62" t="inlineStr">
        <is>
          <t>MEDIUM</t>
        </is>
      </c>
    </row>
    <row r="29">
      <c r="A29" s="62" t="inlineStr">
        <is>
          <t>G07</t>
        </is>
      </c>
      <c r="B29" s="62" t="inlineStr">
        <is>
          <t>50107</t>
        </is>
      </c>
      <c r="C29" s="62" t="inlineStr">
        <is>
          <t>50107 - Structural &amp; Base Steel &amp; Footings</t>
        </is>
      </c>
      <c r="D29" s="62" t="inlineStr">
        <is>
          <t>Floor Stringer (S1+S2) — 150S41-115-500 × 2394mm</t>
        </is>
      </c>
      <c r="E29" s="62" t="inlineStr">
        <is>
          <t>Floor Stringer</t>
        </is>
      </c>
      <c r="F29" s="62" t="inlineStr">
        <is>
          <t>nr</t>
        </is>
      </c>
      <c r="G29" s="62" t="n">
        <v>18</v>
      </c>
      <c r="H29" s="62" t="inlineStr">
        <is>
          <t>calculated</t>
        </is>
      </c>
      <c r="I29" s="62" t="inlineStr">
        <is>
          <t>DWG schedule: 2 stringers/panel (HIGH) × 9 panels (MEDIUM) = 18</t>
        </is>
      </c>
      <c r="J29" s="62" t="inlineStr">
        <is>
          <t>framecad_dwg: DWG Layouts:Onpage FLayout — 9 panels × 3000mm×2394mm; J1×7 E1+E2×2 S1+S2×2</t>
        </is>
      </c>
      <c r="K29" s="62" t="inlineStr">
        <is>
          <t>2 × 9 = 18</t>
        </is>
      </c>
      <c r="L29" s="62" t="inlineStr">
        <is>
          <t>MEDIUM</t>
        </is>
      </c>
    </row>
    <row r="30">
      <c r="A30" s="62" t="inlineStr">
        <is>
          <t>G08</t>
        </is>
      </c>
      <c r="B30" s="62" t="inlineStr">
        <is>
          <t>50107</t>
        </is>
      </c>
      <c r="C30" s="62" t="inlineStr">
        <is>
          <t>50107 - Structural &amp; Base Steel &amp; Footings</t>
        </is>
      </c>
      <c r="D30" s="62" t="inlineStr">
        <is>
          <t>Floor Stringer (S1+S2) — 150S41-115-500 (total lm)</t>
        </is>
      </c>
      <c r="E30" s="62" t="inlineStr">
        <is>
          <t>Floor Stringer</t>
        </is>
      </c>
      <c r="F30" s="62" t="inlineStr">
        <is>
          <t>lm</t>
        </is>
      </c>
      <c r="G30" s="62" t="n">
        <v>43.09</v>
      </c>
      <c r="H30" s="62" t="inlineStr">
        <is>
          <t>calculated</t>
        </is>
      </c>
      <c r="I30" s="62" t="inlineStr">
        <is>
          <t>DWG schedule: 18 stringers × 2394mm / 1000 = 43.09 lm</t>
        </is>
      </c>
      <c r="J30" s="62" t="inlineStr">
        <is>
          <t>framecad_dwg: DWG Layouts:Onpage FLayout — 9 panels × 3000mm×2394mm; J1×7 E1+E2×2 S1+S2×2</t>
        </is>
      </c>
      <c r="K30" s="62" t="inlineStr">
        <is>
          <t>18 × 2394/1000 = 43.09</t>
        </is>
      </c>
      <c r="L30" s="62" t="inlineStr">
        <is>
          <t>MEDIUM</t>
        </is>
      </c>
    </row>
    <row r="31">
      <c r="A31" s="62" t="inlineStr">
        <is>
          <t>G09</t>
        </is>
      </c>
      <c r="B31" s="62" t="inlineStr">
        <is>
          <t>50107</t>
        </is>
      </c>
      <c r="C31" s="62" t="inlineStr">
        <is>
          <t>50107 - Structural &amp; Base Steel &amp; Footings</t>
        </is>
      </c>
      <c r="D31" s="62" t="inlineStr">
        <is>
          <t>Floor Bearer / Support Beam (steel SHS/RHS) — count</t>
        </is>
      </c>
      <c r="E31" s="62" t="inlineStr">
        <is>
          <t>Floor Bearer | LGS</t>
        </is>
      </c>
      <c r="F31" s="62" t="inlineStr">
        <is>
          <t>nr</t>
        </is>
      </c>
      <c r="G31" s="62" t="n">
        <v>2</v>
      </c>
      <c r="H31" s="62" t="inlineStr">
        <is>
          <t>calculated</t>
        </is>
      </c>
      <c r="I31" s="62" t="inlineStr">
        <is>
          <t>panel_rows(3) from span(7.2m)÷panel_depth(2394mm); internal_bearer_lines = panel_rows−1 = 2 nr</t>
        </is>
      </c>
      <c r="J31" s="62" t="inlineStr">
        <is>
          <t>framecad_dwg+dxf_geometry: panel_depth=2394mm, span_dxf=7.2m</t>
        </is>
      </c>
      <c r="K31" s="62" t="inlineStr">
        <is>
          <t>panel_rows−1 = 3−1 = 2</t>
        </is>
      </c>
      <c r="L31" s="62" t="inlineStr">
        <is>
          <t>MEDIUM</t>
        </is>
      </c>
    </row>
    <row r="32">
      <c r="A32" s="62" t="inlineStr">
        <is>
          <t>G10</t>
        </is>
      </c>
      <c r="B32" s="62" t="inlineStr">
        <is>
          <t>50107</t>
        </is>
      </c>
      <c r="C32" s="62" t="inlineStr">
        <is>
          <t>50107 - Structural &amp; Base Steel &amp; Footings</t>
        </is>
      </c>
      <c r="D32" s="62" t="inlineStr">
        <is>
          <t>Floor Bearer / Support Beam (steel SHS/RHS) — 2 lines × 9.0m</t>
        </is>
      </c>
      <c r="E32" s="62" t="inlineStr">
        <is>
          <t>Floor Bearer | LGS</t>
        </is>
      </c>
      <c r="F32" s="62" t="inlineStr">
        <is>
          <t>lm</t>
        </is>
      </c>
      <c r="G32" s="62" t="n">
        <v>18</v>
      </c>
      <c r="H32" s="62" t="inlineStr">
        <is>
          <t>calculated</t>
        </is>
      </c>
      <c r="I32" s="62" t="inlineStr">
        <is>
          <t>panel_rows(3) from span(7.2m)÷panel_depth(2394mm); internal_bearer_lines = panel_rows−1 = 2; each line runs full building run = 9.0m</t>
        </is>
      </c>
      <c r="J32" s="62" t="inlineStr">
        <is>
          <t>framecad_dwg+dxf_geometry: panel_depth=2394mm, span_dxf=7.2m, run_dxf=9.0m</t>
        </is>
      </c>
      <c r="K32" s="62" t="inlineStr">
        <is>
          <t>(panel_rows−1) × run = (3−1) × 9.0</t>
        </is>
      </c>
      <c r="L32" s="62" t="inlineStr">
        <is>
          <t>MEDIUM</t>
        </is>
      </c>
    </row>
    <row r="33">
      <c r="A33" s="62" t="inlineStr">
        <is>
          <t>G11</t>
        </is>
      </c>
      <c r="B33" s="62" t="inlineStr">
        <is>
          <t>50107</t>
        </is>
      </c>
      <c r="C33" s="62" t="inlineStr">
        <is>
          <t>50107 - Structural &amp; Base Steel &amp; Footings</t>
        </is>
      </c>
      <c r="D33" s="62" t="inlineStr">
        <is>
          <t>Sub-Floor Support Post / Adjustable Steel Stump</t>
        </is>
      </c>
      <c r="E33" s="62" t="inlineStr">
        <is>
          <t>Sub-Floor Support Post</t>
        </is>
      </c>
      <c r="F33" s="62" t="inlineStr">
        <is>
          <t>nr</t>
        </is>
      </c>
      <c r="G33" s="62" t="n">
        <v>4</v>
      </c>
      <c r="H33" s="62" t="inlineStr">
        <is>
          <t>calculated</t>
        </is>
      </c>
      <c r="I33" s="62" t="inlineStr">
        <is>
          <t>internal_bearer_lines(2) × mid-span_pads_per_bearer(2) [panel_cols(3)−1; perimeter pads on strip footings]</t>
        </is>
      </c>
      <c r="J33" s="62" t="inlineStr">
        <is>
          <t>framecad_dwg+dxf_geometry: panel_grid=3×3, span=7.2m, run=9.0m</t>
        </is>
      </c>
      <c r="K33" s="62" t="inlineStr">
        <is>
          <t>2 × (3−1)</t>
        </is>
      </c>
      <c r="L33" s="62" t="inlineStr">
        <is>
          <t>LOW</t>
        </is>
      </c>
    </row>
    <row r="34">
      <c r="A34" s="62" t="inlineStr">
        <is>
          <t>G12</t>
        </is>
      </c>
      <c r="B34" s="62" t="inlineStr">
        <is>
          <t>50107</t>
        </is>
      </c>
      <c r="C34" s="62" t="inlineStr">
        <is>
          <t>50107 - Structural &amp; Base Steel &amp; Footings</t>
        </is>
      </c>
      <c r="D34" s="62" t="inlineStr">
        <is>
          <t>Joist Hanger Connector (J1 end fix)</t>
        </is>
      </c>
      <c r="E34" s="62" t="inlineStr">
        <is>
          <t>Joist Hanger Connector (J1 end fix)</t>
        </is>
      </c>
      <c r="F34" s="62" t="inlineStr">
        <is>
          <t>nr</t>
        </is>
      </c>
      <c r="G34" s="62" t="n">
        <v>126</v>
      </c>
      <c r="H34" s="62" t="inlineStr">
        <is>
          <t>calculated</t>
        </is>
      </c>
      <c r="I34" s="62" t="inlineStr">
        <is>
          <t>joist_count(63) × 2 ends = 126 hangers</t>
        </is>
      </c>
      <c r="J34" s="62" t="inlineStr">
        <is>
          <t>framecad_dwg: DWG Layouts:Onpage FLayout — 9 panels × 3000mm×2394mm; J1×7 E1+E2×2 S1+S2×2</t>
        </is>
      </c>
      <c r="K34" s="62" t="inlineStr">
        <is>
          <t>63 × 2</t>
        </is>
      </c>
      <c r="L34" s="62" t="inlineStr">
        <is>
          <t>MEDIUM</t>
        </is>
      </c>
    </row>
    <row r="35">
      <c r="A35" s="62" t="inlineStr">
        <is>
          <t>G13</t>
        </is>
      </c>
      <c r="B35" s="62" t="inlineStr">
        <is>
          <t>50107</t>
        </is>
      </c>
      <c r="C35" s="62" t="inlineStr">
        <is>
          <t>50107 - Structural &amp; Base Steel &amp; Footings</t>
        </is>
      </c>
      <c r="D35" s="62" t="inlineStr">
        <is>
          <t>DPM / Polyethylene Moisture Barrier (200µm)</t>
        </is>
      </c>
      <c r="E35" s="62" t="inlineStr">
        <is>
          <t>DPM / Polyethylene Moisture Barrier (200µm)</t>
        </is>
      </c>
      <c r="F35" s="62" t="inlineStr">
        <is>
          <t>m2</t>
        </is>
      </c>
      <c r="G35" s="62" t="n">
        <v>71.28</v>
      </c>
      <c r="H35" s="62" t="inlineStr">
        <is>
          <t>calculated</t>
        </is>
      </c>
      <c r="I35" s="62" t="inlineStr">
        <is>
          <t>main_floor_area(64.80) × 1.10 (laps)</t>
        </is>
      </c>
      <c r="J35" s="62" t="inlineStr">
        <is>
          <t>dxf_geometry: main_floor_area=64.80 m²</t>
        </is>
      </c>
      <c r="K35" s="62" t="inlineStr">
        <is>
          <t>64.80 × 1.1</t>
        </is>
      </c>
      <c r="L35" s="62" t="inlineStr">
        <is>
          <t>MEDIUM</t>
        </is>
      </c>
    </row>
    <row r="36">
      <c r="A36" s="62" t="inlineStr">
        <is>
          <t>G14</t>
        </is>
      </c>
      <c r="B36" s="62" t="inlineStr">
        <is>
          <t>50107</t>
        </is>
      </c>
      <c r="C36" s="62" t="inlineStr">
        <is>
          <t>50107 - Structural &amp; Base Steel &amp; Footings</t>
        </is>
      </c>
      <c r="D36" s="62" t="inlineStr">
        <is>
          <t>Floor Sheet (FC / plywood)</t>
        </is>
      </c>
      <c r="E36" s="62" t="inlineStr">
        <is>
          <t>FC Sheet Floor | 18mm thk, 1200 x 2400 Sheet</t>
        </is>
      </c>
      <c r="F36" s="62" t="inlineStr">
        <is>
          <t>sheets</t>
        </is>
      </c>
      <c r="G36" s="62" t="n">
        <v>24</v>
      </c>
      <c r="H36" s="62" t="inlineStr">
        <is>
          <t>calculated</t>
        </is>
      </c>
      <c r="I36" s="62" t="inlineStr">
        <is>
          <t>ceil(floor_area × 1.05 / 2.88)</t>
        </is>
      </c>
      <c r="J36" s="62" t="inlineStr">
        <is>
          <t>framecad_dwg+dxf_geometry: floor_area=64.80 m²</t>
        </is>
      </c>
      <c r="K36" s="62" t="inlineStr">
        <is>
          <t>ceil(64.80 × 1.05 / 2.88)</t>
        </is>
      </c>
      <c r="L36" s="62" t="inlineStr">
        <is>
          <t>HIGH</t>
        </is>
      </c>
    </row>
    <row r="37">
      <c r="A37" s="62" t="inlineStr">
        <is>
          <t>G15</t>
        </is>
      </c>
      <c r="B37" s="62" t="inlineStr">
        <is>
          <t>50107</t>
        </is>
      </c>
      <c r="C37" s="62" t="inlineStr">
        <is>
          <t>50107 - Structural &amp; Base Steel &amp; Footings</t>
        </is>
      </c>
      <c r="D37" s="62" t="inlineStr">
        <is>
          <t>Floor Sheet — Total Supply Area (1200×2400mm)</t>
        </is>
      </c>
      <c r="E37" s="62" t="inlineStr">
        <is>
          <t>Floor Sheet (FC / Plywood)</t>
        </is>
      </c>
      <c r="F37" s="62" t="inlineStr">
        <is>
          <t>each</t>
        </is>
      </c>
      <c r="G37" s="62" t="n">
        <v>25</v>
      </c>
      <c r="H37" s="62" t="inlineStr">
        <is>
          <t>calculated</t>
        </is>
      </c>
      <c r="I37" s="62" t="inlineStr">
        <is>
          <t>sheet_count(24) × sheet_area(2.88m²) — gross supply incl. waste</t>
        </is>
      </c>
      <c r="J37" s="62" t="inlineStr">
        <is>
          <t>framecad_dwg+dxf_geometry: floor_area=64.80m² × waste(1.05) → 24 sheets × 2.88m²</t>
        </is>
      </c>
      <c r="K37" s="62" t="inlineStr">
        <is>
          <t>24 × 2.88</t>
        </is>
      </c>
      <c r="L37" s="62" t="inlineStr">
        <is>
          <t>HIGH</t>
        </is>
      </c>
    </row>
    <row r="38">
      <c r="A38" s="62" t="inlineStr">
        <is>
          <t>G16</t>
        </is>
      </c>
      <c r="B38" s="62" t="inlineStr">
        <is>
          <t>50107</t>
        </is>
      </c>
      <c r="C38" s="62" t="inlineStr">
        <is>
          <t>50107 - Structural &amp; Base Steel &amp; Footings</t>
        </is>
      </c>
      <c r="D38" s="62" t="inlineStr">
        <is>
          <t>Floor Sheet Fixing Screws — 8G Self-Drilling 35mm</t>
        </is>
      </c>
      <c r="E38" s="62" t="inlineStr">
        <is>
          <t>Fixing | FC Floor Sheet Screw</t>
        </is>
      </c>
      <c r="F38" s="62" t="inlineStr">
        <is>
          <t>nr</t>
        </is>
      </c>
      <c r="G38" s="62" t="n">
        <v>768</v>
      </c>
      <c r="H38" s="62" t="inlineStr">
        <is>
          <t>calculated</t>
        </is>
      </c>
      <c r="I38" s="62" t="inlineStr">
        <is>
          <t>sheet_count(24) × 32 fixings/sheet</t>
        </is>
      </c>
      <c r="J38" s="62" t="inlineStr">
        <is>
          <t>framecad_dwg+dxf_geometry: sheet_count=24</t>
        </is>
      </c>
      <c r="K38" s="62" t="inlineStr">
        <is>
          <t>24 × 32</t>
        </is>
      </c>
      <c r="L38" s="62" t="inlineStr">
        <is>
          <t>LOW</t>
        </is>
      </c>
    </row>
    <row r="39">
      <c r="A39" s="62" t="inlineStr">
        <is>
          <t>G17</t>
        </is>
      </c>
      <c r="B39" s="62" t="inlineStr">
        <is>
          <t>50107</t>
        </is>
      </c>
      <c r="C39" s="62" t="inlineStr">
        <is>
          <t>50107 - Structural &amp; Base Steel &amp; Footings</t>
        </is>
      </c>
      <c r="D39" s="62" t="inlineStr">
        <is>
          <t>Floor Sheet Fixing Screws — 8G Self-Drilling 35mm (boxes)</t>
        </is>
      </c>
      <c r="E39" s="62" t="inlineStr">
        <is>
          <t>Fixing | FC Floor Sheet Screw</t>
        </is>
      </c>
      <c r="F39" s="62" t="inlineStr">
        <is>
          <t>boxes</t>
        </is>
      </c>
      <c r="G39" s="62" t="n">
        <v>2</v>
      </c>
      <c r="H39" s="62" t="inlineStr">
        <is>
          <t>calculated</t>
        </is>
      </c>
      <c r="I39" s="62" t="inlineStr">
        <is>
          <t>ceil(sheet_count(24) × 32 / 500 per box)</t>
        </is>
      </c>
      <c r="J39" s="62" t="inlineStr">
        <is>
          <t>framecad_dwg+dxf_geometry: sheet_count=24</t>
        </is>
      </c>
      <c r="K39" s="62" t="inlineStr">
        <is>
          <t>ceil(24 × 32 / 500)</t>
        </is>
      </c>
      <c r="L39" s="62" t="inlineStr">
        <is>
          <t>LOW</t>
        </is>
      </c>
    </row>
    <row r="40">
      <c r="A40" s="62" t="inlineStr">
        <is>
          <t>G18</t>
        </is>
      </c>
      <c r="B40" s="62" t="inlineStr">
        <is>
          <t>50107</t>
        </is>
      </c>
      <c r="C40" s="62" t="inlineStr">
        <is>
          <t>50107 - Structural &amp; Base Steel &amp; Footings</t>
        </is>
      </c>
      <c r="D40" s="62" t="inlineStr">
        <is>
          <t>Floor Sheet Adhesive (construction adhesive, 300mL tube)</t>
        </is>
      </c>
      <c r="E40" s="62" t="inlineStr">
        <is>
          <t>Floor Sheet (FC / Plywood)</t>
        </is>
      </c>
      <c r="F40" s="62" t="inlineStr">
        <is>
          <t>tubes</t>
        </is>
      </c>
      <c r="G40" s="62" t="n">
        <v>22</v>
      </c>
      <c r="H40" s="62" t="inlineStr">
        <is>
          <t>calculated</t>
        </is>
      </c>
      <c r="I40" s="62" t="inlineStr">
        <is>
          <t>ceil(floor_area(64.80) / 3 m² per tube)</t>
        </is>
      </c>
      <c r="J40" s="62" t="inlineStr">
        <is>
          <t>framecad_dwg+dxf_geometry: floor_area=64.80 m²</t>
        </is>
      </c>
      <c r="K40" s="62" t="inlineStr">
        <is>
          <t>ceil(floor_area / 3.0)</t>
        </is>
      </c>
      <c r="L40" s="62" t="inlineStr">
        <is>
          <t>LOW</t>
        </is>
      </c>
    </row>
    <row r="41">
      <c r="A41" s="62" t="inlineStr">
        <is>
          <t>H01</t>
        </is>
      </c>
      <c r="B41" s="62" t="inlineStr">
        <is>
          <t>50107</t>
        </is>
      </c>
      <c r="C41" s="62" t="inlineStr">
        <is>
          <t>50107 - Structural &amp; Base Steel &amp; Footings</t>
        </is>
      </c>
      <c r="D41" s="62" t="inlineStr">
        <is>
          <t>Strip Footing — External Perimeter</t>
        </is>
      </c>
      <c r="E41" s="62" t="inlineStr">
        <is>
          <t>Substructure | Strip Footing, External Perimeter</t>
        </is>
      </c>
      <c r="F41" s="62" t="inlineStr">
        <is>
          <t>lm</t>
        </is>
      </c>
      <c r="G41" s="62" t="n">
        <v>38.4</v>
      </c>
      <c r="H41" s="62" t="inlineStr">
        <is>
          <t>calculated</t>
        </is>
      </c>
      <c r="I41" s="62">
        <f> ext_wall_perimeter (steel floor bearing line)</f>
        <v/>
      </c>
      <c r="J41" s="62" t="inlineStr">
        <is>
          <t>derived_steel_floor: perimeter=38.4 m</t>
        </is>
      </c>
      <c r="K41" s="62">
        <f> ext_wall_perimeter</f>
        <v/>
      </c>
      <c r="L41" s="62" t="inlineStr">
        <is>
          <t>MEDIUM</t>
        </is>
      </c>
    </row>
    <row r="42">
      <c r="A42" s="62" t="inlineStr">
        <is>
          <t>H02</t>
        </is>
      </c>
      <c r="B42" s="62" t="inlineStr">
        <is>
          <t>50107</t>
        </is>
      </c>
      <c r="C42" s="62" t="inlineStr">
        <is>
          <t>50107 - Structural &amp; Base Steel &amp; Footings</t>
        </is>
      </c>
      <c r="D42" s="62" t="inlineStr">
        <is>
          <t>Strip Footing — Concrete Volume</t>
        </is>
      </c>
      <c r="E42" s="62" t="inlineStr">
        <is>
          <t>Substructure | Strip Footing Concrete Volume</t>
        </is>
      </c>
      <c r="F42" s="62" t="inlineStr">
        <is>
          <t>m3</t>
        </is>
      </c>
      <c r="G42" s="62" t="n">
        <v>7.68</v>
      </c>
      <c r="H42" s="62" t="inlineStr">
        <is>
          <t>calculated</t>
        </is>
      </c>
      <c r="I42" s="62" t="inlineStr">
        <is>
          <t>perimeter(38.4m) × depth(0.5m) × width(0.4m)</t>
        </is>
      </c>
      <c r="J42" s="62" t="inlineStr">
        <is>
          <t>dxf_geometry: ext_perim=38.4m (MEDIUM); project_config: depth=0.5m width=0.4m (project-specific)</t>
        </is>
      </c>
      <c r="K42" s="62" t="inlineStr">
        <is>
          <t>38.4 × 0.5 × 0.4</t>
        </is>
      </c>
      <c r="L42" s="62" t="inlineStr">
        <is>
          <t>MEDIUM</t>
        </is>
      </c>
    </row>
    <row r="43">
      <c r="A43" s="62" t="inlineStr">
        <is>
          <t>H03</t>
        </is>
      </c>
      <c r="B43" s="62" t="inlineStr">
        <is>
          <t>50107</t>
        </is>
      </c>
      <c r="C43" s="62" t="inlineStr">
        <is>
          <t>50107 - Structural &amp; Base Steel &amp; Footings</t>
        </is>
      </c>
      <c r="D43" s="62" t="inlineStr">
        <is>
          <t>Strip Footing — Formwork</t>
        </is>
      </c>
      <c r="E43" s="62" t="inlineStr">
        <is>
          <t>Substructure | Strip Footing Formwork</t>
        </is>
      </c>
      <c r="F43" s="62" t="inlineStr">
        <is>
          <t>lm</t>
        </is>
      </c>
      <c r="G43" s="62" t="n">
        <v>38.4</v>
      </c>
      <c r="H43" s="62" t="inlineStr">
        <is>
          <t>calculated</t>
        </is>
      </c>
      <c r="I43" s="62">
        <f> perimeter (strip footing edge form)</f>
        <v/>
      </c>
      <c r="J43" s="62" t="inlineStr">
        <is>
          <t>derived_steel_floor: perimeter=38.4 m</t>
        </is>
      </c>
      <c r="K43" s="62">
        <f> ext_wall_perimeter</f>
        <v/>
      </c>
      <c r="L43" s="62" t="inlineStr">
        <is>
          <t>MEDIUM</t>
        </is>
      </c>
    </row>
    <row r="44">
      <c r="A44" s="62" t="inlineStr">
        <is>
          <t>H04</t>
        </is>
      </c>
      <c r="B44" s="62" t="inlineStr">
        <is>
          <t>50107</t>
        </is>
      </c>
      <c r="C44" s="62" t="inlineStr">
        <is>
          <t>50107 - Structural &amp; Base Steel &amp; Footings</t>
        </is>
      </c>
      <c r="D44" s="62" t="inlineStr">
        <is>
          <t>Strip Footing — Reo Bar Y12 (2 bars, ext perimeter)</t>
        </is>
      </c>
      <c r="E44" s="62" t="inlineStr">
        <is>
          <t>Strip Footing — Reo Bar Y12 (2 bars, ext perimeter)</t>
        </is>
      </c>
      <c r="F44" s="62" t="inlineStr">
        <is>
          <t>lm</t>
        </is>
      </c>
      <c r="G44" s="62" t="n">
        <v>76.8</v>
      </c>
      <c r="H44" s="62" t="inlineStr">
        <is>
          <t>calculated</t>
        </is>
      </c>
      <c r="I44" s="62" t="inlineStr">
        <is>
          <t>ext_perim(38.4m) × 2 bars = 76.8 lm (13 × 6m lengths)</t>
        </is>
      </c>
      <c r="J44" s="62" t="inlineStr">
        <is>
          <t>derived_steel_floor: perimeter=38.4 m</t>
        </is>
      </c>
      <c r="K44" s="62" t="inlineStr">
        <is>
          <t>ext_perim × 2 bars</t>
        </is>
      </c>
      <c r="L44" s="62" t="inlineStr">
        <is>
          <t>LOW</t>
        </is>
      </c>
    </row>
    <row r="45">
      <c r="A45" s="62" t="inlineStr">
        <is>
          <t>H05</t>
        </is>
      </c>
      <c r="B45" s="62" t="inlineStr">
        <is>
          <t>50107</t>
        </is>
      </c>
      <c r="C45" s="62" t="inlineStr">
        <is>
          <t>50107 - Structural &amp; Base Steel &amp; Footings</t>
        </is>
      </c>
      <c r="D45" s="62" t="inlineStr">
        <is>
          <t>Termite Barrier — Physical Membrane (ext perimeter)</t>
        </is>
      </c>
      <c r="E45" s="62" t="inlineStr">
        <is>
          <t>Termite Barrier — Physical Membrane (ext perimeter)</t>
        </is>
      </c>
      <c r="F45" s="62" t="inlineStr">
        <is>
          <t>lm</t>
        </is>
      </c>
      <c r="G45" s="62" t="n">
        <v>38.4</v>
      </c>
      <c r="H45" s="62" t="inlineStr">
        <is>
          <t>inferred</t>
        </is>
      </c>
      <c r="I45" s="62">
        <f> ext_wall_perimeter (physical termite management at all bearer-to-footing interfaces)</f>
        <v/>
      </c>
      <c r="J45" s="62" t="inlineStr">
        <is>
          <t>derived_steel_floor: perimeter=38.4 m</t>
        </is>
      </c>
      <c r="K45" s="62">
        <f> ext_wall_perimeter</f>
        <v/>
      </c>
      <c r="L45" s="62" t="inlineStr">
        <is>
          <t>LOW</t>
        </is>
      </c>
    </row>
    <row r="46">
      <c r="A46" s="62" t="inlineStr">
        <is>
          <t>H06</t>
        </is>
      </c>
      <c r="B46" s="62" t="inlineStr">
        <is>
          <t>50107</t>
        </is>
      </c>
      <c r="C46" s="62" t="inlineStr">
        <is>
          <t>50107 - Structural &amp; Base Steel &amp; Footings</t>
        </is>
      </c>
      <c r="D46" s="62" t="inlineStr">
        <is>
          <t>Bulk Earthworks / Level (provisional)</t>
        </is>
      </c>
      <c r="E46" s="62" t="inlineStr">
        <is>
          <t>Substructure | Bulk Earthworks / Level (provisional)</t>
        </is>
      </c>
      <c r="F46" s="62" t="inlineStr">
        <is>
          <t>m3</t>
        </is>
      </c>
      <c r="G46" s="62" t="n">
        <v>0</v>
      </c>
      <c r="H46" s="62" t="inlineStr">
        <is>
          <t>placeholder</t>
        </is>
      </c>
      <c r="I46" s="62" t="inlineStr">
        <is>
          <t>site survey required</t>
        </is>
      </c>
      <c r="J46" s="62" t="inlineStr">
        <is>
          <t>no site survey in sources</t>
        </is>
      </c>
      <c r="K46" s="62" t="inlineStr">
        <is>
          <t>manual review required</t>
        </is>
      </c>
      <c r="L46" s="62" t="inlineStr">
        <is>
          <t>LOW</t>
        </is>
      </c>
    </row>
    <row r="47">
      <c r="A47" s="62" t="inlineStr">
        <is>
          <t>H07</t>
        </is>
      </c>
      <c r="B47" s="62" t="inlineStr">
        <is>
          <t>50107</t>
        </is>
      </c>
      <c r="C47" s="62" t="inlineStr">
        <is>
          <t>50107 - Structural &amp; Base Steel &amp; Footings</t>
        </is>
      </c>
      <c r="D47" s="62" t="inlineStr">
        <is>
          <t>Bar Chair / Reo Spacer — External Strip Footing</t>
        </is>
      </c>
      <c r="E47" s="62" t="inlineStr">
        <is>
          <t>Substructure | Bar Chair (External Footing)</t>
        </is>
      </c>
      <c r="F47" s="62" t="inlineStr">
        <is>
          <t>nr</t>
        </is>
      </c>
      <c r="G47" s="62" t="n">
        <v>64</v>
      </c>
      <c r="H47" s="62" t="inlineStr">
        <is>
          <t>calculated</t>
        </is>
      </c>
      <c r="I47" s="62" t="inlineStr">
        <is>
          <t>ceil(ext_perim(38.4m) / 0.6m spacing)</t>
        </is>
      </c>
      <c r="J47" s="62" t="inlineStr">
        <is>
          <t>derived_steel_floor: perimeter=38.4 m</t>
        </is>
      </c>
      <c r="K47" s="62" t="inlineStr">
        <is>
          <t>ceil(ext_perim / 0.6)</t>
        </is>
      </c>
      <c r="L47" s="62" t="inlineStr">
        <is>
          <t>LOW</t>
        </is>
      </c>
    </row>
    <row r="48">
      <c r="A48" s="62" t="inlineStr">
        <is>
          <t>H08</t>
        </is>
      </c>
      <c r="B48" s="62" t="inlineStr">
        <is>
          <t>50107</t>
        </is>
      </c>
      <c r="C48" s="62" t="inlineStr">
        <is>
          <t>50107 - Structural &amp; Base Steel &amp; Footings</t>
        </is>
      </c>
      <c r="D48" s="62" t="inlineStr">
        <is>
          <t>Strip Footing — Internal Bearing Lines</t>
        </is>
      </c>
      <c r="E48" s="62" t="inlineStr">
        <is>
          <t>Substructure | Strip Footing, Internal Bearing</t>
        </is>
      </c>
      <c r="F48" s="62" t="inlineStr">
        <is>
          <t>lm</t>
        </is>
      </c>
      <c r="G48" s="62" t="n">
        <v>29.4</v>
      </c>
      <c r="H48" s="62" t="inlineStr">
        <is>
          <t>calculated</t>
        </is>
      </c>
      <c r="I48" s="62">
        <f> int_wall_lm (DXF measured internal wall runs)</f>
        <v/>
      </c>
      <c r="J48" s="62" t="inlineStr">
        <is>
          <t>dxf_geometry: int_wall_lm=29.4 m</t>
        </is>
      </c>
      <c r="K48" s="62">
        <f> int_wall_perimeter</f>
        <v/>
      </c>
      <c r="L48" s="62" t="inlineStr">
        <is>
          <t>MEDIUM</t>
        </is>
      </c>
    </row>
    <row r="49">
      <c r="A49" s="62" t="inlineStr">
        <is>
          <t>H09</t>
        </is>
      </c>
      <c r="B49" s="62" t="inlineStr">
        <is>
          <t>50107</t>
        </is>
      </c>
      <c r="C49" s="62" t="inlineStr">
        <is>
          <t>50107 - Structural &amp; Base Steel &amp; Footings</t>
        </is>
      </c>
      <c r="D49" s="62" t="inlineStr">
        <is>
          <t>Strip Footing Internal — Formwork</t>
        </is>
      </c>
      <c r="E49" s="62" t="inlineStr">
        <is>
          <t>Substructure | Strip Footing Internal Formwork</t>
        </is>
      </c>
      <c r="F49" s="62" t="inlineStr">
        <is>
          <t>lm</t>
        </is>
      </c>
      <c r="G49" s="62" t="n">
        <v>29.4</v>
      </c>
      <c r="H49" s="62" t="inlineStr">
        <is>
          <t>calculated</t>
        </is>
      </c>
      <c r="I49" s="62">
        <f> int_wall_lm (strip footing edge form, internal bearing lines)</f>
        <v/>
      </c>
      <c r="J49" s="62" t="inlineStr">
        <is>
          <t>dxf_geometry: int_wall_lm=29.4 m</t>
        </is>
      </c>
      <c r="K49" s="62">
        <f> int_wall_lm</f>
        <v/>
      </c>
      <c r="L49" s="62" t="inlineStr">
        <is>
          <t>MEDIUM</t>
        </is>
      </c>
    </row>
    <row r="50">
      <c r="A50" s="62" t="inlineStr">
        <is>
          <t>H10</t>
        </is>
      </c>
      <c r="B50" s="62" t="inlineStr">
        <is>
          <t>50107</t>
        </is>
      </c>
      <c r="C50" s="62" t="inlineStr">
        <is>
          <t>50107 - Structural &amp; Base Steel &amp; Footings</t>
        </is>
      </c>
      <c r="D50" s="62" t="inlineStr">
        <is>
          <t>Strip Footing Internal — Concrete Volume</t>
        </is>
      </c>
      <c r="E50" s="62" t="inlineStr">
        <is>
          <t>Substructure | Strip Footing Internal Concrete Volume</t>
        </is>
      </c>
      <c r="F50" s="62" t="inlineStr">
        <is>
          <t>m3</t>
        </is>
      </c>
      <c r="G50" s="62" t="n">
        <v>5.88</v>
      </c>
      <c r="H50" s="62" t="inlineStr">
        <is>
          <t>calculated</t>
        </is>
      </c>
      <c r="I50" s="62" t="inlineStr">
        <is>
          <t>int_lm(29.4m) × depth(0.5m) × width(0.4m)</t>
        </is>
      </c>
      <c r="J50" s="62" t="inlineStr">
        <is>
          <t>dxf_geometry: int_wall_lm=29.4m (MEDIUM); project_config: depth=0.5m width=0.4m (project-specific)</t>
        </is>
      </c>
      <c r="K50" s="62" t="inlineStr">
        <is>
          <t>29.4 × 0.5 × 0.4</t>
        </is>
      </c>
      <c r="L50" s="62" t="inlineStr">
        <is>
          <t>MEDIUM</t>
        </is>
      </c>
    </row>
    <row r="51">
      <c r="A51" s="62" t="inlineStr">
        <is>
          <t>H11</t>
        </is>
      </c>
      <c r="B51" s="62" t="inlineStr">
        <is>
          <t>50107</t>
        </is>
      </c>
      <c r="C51" s="62" t="inlineStr">
        <is>
          <t>50107 - Structural &amp; Base Steel &amp; Footings</t>
        </is>
      </c>
      <c r="D51" s="62" t="inlineStr">
        <is>
          <t>Strip Footing Internal — Reo Bar Y12 (2 bars per run)</t>
        </is>
      </c>
      <c r="E51" s="62" t="inlineStr">
        <is>
          <t>Substructure | Strip Footing Internal Reo Bar Y12</t>
        </is>
      </c>
      <c r="F51" s="62" t="inlineStr">
        <is>
          <t>lm</t>
        </is>
      </c>
      <c r="G51" s="62" t="n">
        <v>58.8</v>
      </c>
      <c r="H51" s="62" t="inlineStr">
        <is>
          <t>calculated</t>
        </is>
      </c>
      <c r="I51" s="62" t="inlineStr">
        <is>
          <t>int_wall_lm(29.4m) × 2 bars = 58.8 lm (10 × 6m lengths)</t>
        </is>
      </c>
      <c r="J51" s="62" t="inlineStr">
        <is>
          <t>dxf_geometry: int_wall_lm=29.4 m</t>
        </is>
      </c>
      <c r="K51" s="62" t="inlineStr">
        <is>
          <t>int_wall_lm × 2 bars</t>
        </is>
      </c>
      <c r="L51" s="62" t="inlineStr">
        <is>
          <t>LOW</t>
        </is>
      </c>
    </row>
    <row r="52">
      <c r="A52" s="62" t="inlineStr">
        <is>
          <t>H12</t>
        </is>
      </c>
      <c r="B52" s="62" t="inlineStr">
        <is>
          <t>50107</t>
        </is>
      </c>
      <c r="C52" s="62" t="inlineStr">
        <is>
          <t>50107 - Structural &amp; Base Steel &amp; Footings</t>
        </is>
      </c>
      <c r="D52" s="62" t="inlineStr">
        <is>
          <t>Termite Barrier — Physical Membrane (internal bearing lines)</t>
        </is>
      </c>
      <c r="E52" s="62" t="inlineStr">
        <is>
          <t>Termite Barrier — Physical Membrane (internal bearing lines)</t>
        </is>
      </c>
      <c r="F52" s="62" t="inlineStr">
        <is>
          <t>lm</t>
        </is>
      </c>
      <c r="G52" s="62" t="n">
        <v>29.4</v>
      </c>
      <c r="H52" s="62" t="inlineStr">
        <is>
          <t>inferred</t>
        </is>
      </c>
      <c r="I52" s="62">
        <f> int_wall_lm (physical termite management at all internal bearer interfaces)</f>
        <v/>
      </c>
      <c r="J52" s="62" t="inlineStr">
        <is>
          <t>dxf_geometry: int_wall_lm=29.4 m</t>
        </is>
      </c>
      <c r="K52" s="62">
        <f> int_wall_lm</f>
        <v/>
      </c>
      <c r="L52" s="62" t="inlineStr">
        <is>
          <t>LOW</t>
        </is>
      </c>
    </row>
    <row r="53">
      <c r="A53" s="62" t="inlineStr">
        <is>
          <t>H13</t>
        </is>
      </c>
      <c r="B53" s="62" t="inlineStr">
        <is>
          <t>50107</t>
        </is>
      </c>
      <c r="C53" s="62" t="inlineStr">
        <is>
          <t>50107 - Structural &amp; Base Steel &amp; Footings</t>
        </is>
      </c>
      <c r="D53" s="62" t="inlineStr">
        <is>
          <t>Bar Chair / Reo Spacer — Internal Strip Footings</t>
        </is>
      </c>
      <c r="E53" s="62" t="inlineStr">
        <is>
          <t>Substructure | Bar Chair (Internal Footing)</t>
        </is>
      </c>
      <c r="F53" s="62" t="inlineStr">
        <is>
          <t>nr</t>
        </is>
      </c>
      <c r="G53" s="62" t="n">
        <v>49</v>
      </c>
      <c r="H53" s="62" t="inlineStr">
        <is>
          <t>calculated</t>
        </is>
      </c>
      <c r="I53" s="62" t="inlineStr">
        <is>
          <t>ceil(int_wall_lm(29.4m) / 0.6m spacing)</t>
        </is>
      </c>
      <c r="J53" s="62" t="inlineStr">
        <is>
          <t>dxf_geometry: int_wall_lm=29.4 m</t>
        </is>
      </c>
      <c r="K53" s="62" t="inlineStr">
        <is>
          <t>ceil(int_lm / 0.6)</t>
        </is>
      </c>
      <c r="L53" s="62" t="inlineStr">
        <is>
          <t>LOW</t>
        </is>
      </c>
    </row>
    <row r="54">
      <c r="A54" s="62" t="inlineStr">
        <is>
          <t>H14</t>
        </is>
      </c>
      <c r="B54" s="62" t="inlineStr">
        <is>
          <t>50107</t>
        </is>
      </c>
      <c r="C54" s="62" t="inlineStr">
        <is>
          <t>50107 - Structural &amp; Base Steel &amp; Footings</t>
        </is>
      </c>
      <c r="D54" s="62" t="inlineStr">
        <is>
          <t>Pad Footing (concrete)</t>
        </is>
      </c>
      <c r="E54" s="62" t="inlineStr">
        <is>
          <t>Substructure | Pad Footing, Concrete</t>
        </is>
      </c>
      <c r="F54" s="62" t="inlineStr">
        <is>
          <t>nr</t>
        </is>
      </c>
      <c r="G54" s="62" t="n">
        <v>15</v>
      </c>
      <c r="H54" s="62" t="inlineStr">
        <is>
          <t>measured</t>
        </is>
      </c>
      <c r="I54" s="62" t="inlineStr">
        <is>
          <t>dxf_geometry: pad_count</t>
        </is>
      </c>
      <c r="J54" s="62" t="inlineStr">
        <is>
          <t>dxf_geometry: count=15</t>
        </is>
      </c>
      <c r="K54" s="62" t="inlineStr">
        <is>
          <t>direct count</t>
        </is>
      </c>
      <c r="L54" s="62" t="inlineStr">
        <is>
          <t>MEDIUM</t>
        </is>
      </c>
    </row>
    <row r="55">
      <c r="A55" s="62" t="inlineStr">
        <is>
          <t>H15</t>
        </is>
      </c>
      <c r="B55" s="62" t="inlineStr">
        <is>
          <t>50107</t>
        </is>
      </c>
      <c r="C55" s="62" t="inlineStr">
        <is>
          <t>50107 - Structural &amp; Base Steel &amp; Footings</t>
        </is>
      </c>
      <c r="D55" s="62" t="inlineStr">
        <is>
          <t>Pad Footing Concrete (m3)</t>
        </is>
      </c>
      <c r="E55" s="62" t="inlineStr">
        <is>
          <t>Substructure | Pad Footing Concrete Volume</t>
        </is>
      </c>
      <c r="F55" s="62" t="inlineStr">
        <is>
          <t>m3</t>
        </is>
      </c>
      <c r="G55" s="62" t="n">
        <v>5.145</v>
      </c>
      <c r="H55" s="62" t="inlineStr">
        <is>
          <t>calculated</t>
        </is>
      </c>
      <c r="I55" s="62" t="inlineStr">
        <is>
          <t>pad_count(15) × 0.7m×0.7m×0.7m = 0.343m³ each</t>
        </is>
      </c>
      <c r="J55" s="62" t="inlineStr">
        <is>
          <t>dxf_geometry: pad_count=15 (MEDIUM); project_config: pad_size=0.7m pad_depth=0.7m (project-specific)</t>
        </is>
      </c>
      <c r="K55" s="62" t="inlineStr">
        <is>
          <t>15 × 0.343</t>
        </is>
      </c>
      <c r="L55" s="62" t="inlineStr">
        <is>
          <t>MEDIUM</t>
        </is>
      </c>
    </row>
    <row r="56">
      <c r="A56" s="62" t="inlineStr">
        <is>
          <t>H16</t>
        </is>
      </c>
      <c r="B56" s="62" t="inlineStr">
        <is>
          <t>50107</t>
        </is>
      </c>
      <c r="C56" s="62" t="inlineStr">
        <is>
          <t>50107 - Structural &amp; Base Steel &amp; Footings</t>
        </is>
      </c>
      <c r="D56" s="62" t="inlineStr">
        <is>
          <t>Concrete Supply — Substructure Total (all footings)</t>
        </is>
      </c>
      <c r="E56" s="62" t="inlineStr">
        <is>
          <t>Concrete Supply — Substructure Total (all footings)</t>
        </is>
      </c>
      <c r="F56" s="62" t="inlineStr">
        <is>
          <t>m3</t>
        </is>
      </c>
      <c r="G56" s="62" t="n">
        <v>18.705</v>
      </c>
      <c r="H56" s="62" t="inlineStr">
        <is>
          <t>calculated</t>
        </is>
      </c>
      <c r="I56" s="62" t="inlineStr">
        <is>
          <t>sum of all footing concrete volumes (strip ext + strip int + pad footings)</t>
        </is>
      </c>
      <c r="J56" s="62" t="inlineStr">
        <is>
          <t>derived: Concrete Volume(7.680m³) + Concrete Volume(5.880m³) + Pad Footing Concrete (m3)(5.145m³) = 18.705 m³</t>
        </is>
      </c>
      <c r="K56" s="62" t="inlineStr">
        <is>
          <t>sum(concrete_m3 per footing type)</t>
        </is>
      </c>
      <c r="L56" s="62" t="inlineStr">
        <is>
          <t>MEDIUM</t>
        </is>
      </c>
    </row>
    <row r="57">
      <c r="A57" s="62" t="inlineStr">
        <is>
          <t>A12</t>
        </is>
      </c>
      <c r="B57" s="62" t="inlineStr">
        <is>
          <t>50111</t>
        </is>
      </c>
      <c r="C57" s="62" t="inlineStr">
        <is>
          <t>50111 - Fixings &amp; Connectors</t>
        </is>
      </c>
      <c r="D57" s="62" t="inlineStr">
        <is>
          <t>Framing Screw 12G-14×20 HEX Head (LGS stud-to-track)</t>
        </is>
      </c>
      <c r="E57" s="62" t="inlineStr">
        <is>
          <t>Fixing | 12G-14x20mm HEX Head, DP</t>
        </is>
      </c>
      <c r="F57" s="62" t="inlineStr">
        <is>
          <t>boxes</t>
        </is>
      </c>
      <c r="G57" s="62" t="n">
        <v>19</v>
      </c>
      <c r="H57" s="62" t="inlineStr">
        <is>
          <t>calculated</t>
        </is>
      </c>
      <c r="I57" s="62" t="inlineStr">
        <is>
          <t>wall_frame_lm(2300.4) × 4.0 screws/m ÷ 500/box</t>
        </is>
      </c>
      <c r="J57" s="62" t="inlineStr">
        <is>
          <t>framecad_bom: wall=2300.4lm, roof_panel=481.7lm, batten=1385.3lm; dxf: pad_count=15, strip_perim=0.0m, int_wall=29.4lm, ext_wall=38.4lm</t>
        </is>
      </c>
      <c r="K57" s="62" t="inlineStr">
        <is>
          <t>ceil(2300.4 × 4.0 / 500)</t>
        </is>
      </c>
      <c r="L57" s="62" t="inlineStr">
        <is>
          <t>MEDIUM</t>
        </is>
      </c>
    </row>
    <row r="58">
      <c r="A58" s="62" t="inlineStr">
        <is>
          <t>A13</t>
        </is>
      </c>
      <c r="B58" s="62" t="inlineStr">
        <is>
          <t>50111</t>
        </is>
      </c>
      <c r="C58" s="62" t="inlineStr">
        <is>
          <t>50111 - Fixings &amp; Connectors</t>
        </is>
      </c>
      <c r="D58" s="62" t="inlineStr">
        <is>
          <t>Framing Screw 10G-24×40 Countersunk (roof panel)</t>
        </is>
      </c>
      <c r="E58" s="62" t="inlineStr">
        <is>
          <t>Roof Panel System — LGS</t>
        </is>
      </c>
      <c r="F58" s="62" t="inlineStr">
        <is>
          <t>boxes</t>
        </is>
      </c>
      <c r="G58" s="62" t="n">
        <v>3</v>
      </c>
      <c r="H58" s="62" t="inlineStr">
        <is>
          <t>calculated</t>
        </is>
      </c>
      <c r="I58" s="62" t="inlineStr">
        <is>
          <t>roof_panel_lm(481.7) × 3.0 screws/m ÷ 500/box</t>
        </is>
      </c>
      <c r="J58" s="62" t="inlineStr">
        <is>
          <t>framecad_bom: wall=2300.4lm, roof_panel=481.7lm, batten=1385.3lm; dxf: pad_count=15, strip_perim=0.0m, int_wall=29.4lm, ext_wall=38.4lm</t>
        </is>
      </c>
      <c r="K58" s="62" t="inlineStr">
        <is>
          <t>ceil(481.7 × 3.0 / 500)</t>
        </is>
      </c>
      <c r="L58" s="62" t="inlineStr">
        <is>
          <t>MEDIUM</t>
        </is>
      </c>
    </row>
    <row r="59">
      <c r="A59" s="62" t="inlineStr">
        <is>
          <t>A14</t>
        </is>
      </c>
      <c r="B59" s="62" t="inlineStr">
        <is>
          <t>50111</t>
        </is>
      </c>
      <c r="C59" s="62" t="inlineStr">
        <is>
          <t>50111 - Fixings &amp; Connectors</t>
        </is>
      </c>
      <c r="D59" s="62" t="inlineStr">
        <is>
          <t>Framing Screw 10G-14×16 Wafer Head (batten-to-purlin)</t>
        </is>
      </c>
      <c r="E59" s="62" t="inlineStr">
        <is>
          <t>Fixing | 10G-14x16mm Wafer Head, DP</t>
        </is>
      </c>
      <c r="F59" s="62" t="inlineStr">
        <is>
          <t>boxes</t>
        </is>
      </c>
      <c r="G59" s="62" t="n">
        <v>7</v>
      </c>
      <c r="H59" s="62" t="inlineStr">
        <is>
          <t>calculated</t>
        </is>
      </c>
      <c r="I59" s="62" t="inlineStr">
        <is>
          <t>batten_lm(1385.3) × 2.5 screws/m ÷ 500/box</t>
        </is>
      </c>
      <c r="J59" s="62" t="inlineStr">
        <is>
          <t>framecad_bom: wall=2300.4lm, roof_panel=481.7lm, batten=1385.3lm; dxf: pad_count=15, strip_perim=0.0m, int_wall=29.4lm, ext_wall=38.4lm</t>
        </is>
      </c>
      <c r="K59" s="62" t="inlineStr">
        <is>
          <t>ceil(1385.3 × 2.5 / 500)</t>
        </is>
      </c>
      <c r="L59" s="62" t="inlineStr">
        <is>
          <t>LOW</t>
        </is>
      </c>
    </row>
    <row r="60">
      <c r="A60" s="62" t="inlineStr">
        <is>
          <t>A15</t>
        </is>
      </c>
      <c r="B60" s="62" t="inlineStr">
        <is>
          <t>50111</t>
        </is>
      </c>
      <c r="C60" s="62" t="inlineStr">
        <is>
          <t>50111 - Fixings &amp; Connectors</t>
        </is>
      </c>
      <c r="D60" s="62" t="inlineStr">
        <is>
          <t>Sleeve Anchor M12×75 — Pad Footings</t>
        </is>
      </c>
      <c r="E60" s="62" t="inlineStr">
        <is>
          <t>Fixing | M12 x 75mm Sleeve Anchor (Pad Footings)</t>
        </is>
      </c>
      <c r="F60" s="62" t="inlineStr">
        <is>
          <t>nr</t>
        </is>
      </c>
      <c r="G60" s="62" t="n">
        <v>60</v>
      </c>
      <c r="H60" s="62" t="inlineStr">
        <is>
          <t>calculated</t>
        </is>
      </c>
      <c r="I60" s="62" t="inlineStr">
        <is>
          <t>pad_count(15) × 4 anchors per pad</t>
        </is>
      </c>
      <c r="J60" s="62" t="inlineStr">
        <is>
          <t>dxf_geometry: pad_count=15 (DXF STRUCTURE layer)</t>
        </is>
      </c>
      <c r="K60" s="62" t="inlineStr">
        <is>
          <t>15 × 4</t>
        </is>
      </c>
      <c r="L60" s="62" t="inlineStr">
        <is>
          <t>MEDIUM</t>
        </is>
      </c>
    </row>
    <row r="61">
      <c r="A61" s="62" t="inlineStr">
        <is>
          <t>A16</t>
        </is>
      </c>
      <c r="B61" s="62" t="inlineStr">
        <is>
          <t>50111</t>
        </is>
      </c>
      <c r="C61" s="62" t="inlineStr">
        <is>
          <t>50111 - Fixings &amp; Connectors</t>
        </is>
      </c>
      <c r="D61" s="62" t="inlineStr">
        <is>
          <t>PH Post Holder Bracket (PHA/PHB/PHD)</t>
        </is>
      </c>
      <c r="E61" s="62" t="inlineStr">
        <is>
          <t>PH Bracket | Post Holder (PHA/PHB/PHD)</t>
        </is>
      </c>
      <c r="F61" s="62" t="inlineStr">
        <is>
          <t>nr</t>
        </is>
      </c>
      <c r="G61" s="62" t="n">
        <v>15</v>
      </c>
      <c r="H61" s="62" t="inlineStr">
        <is>
          <t>calculated</t>
        </is>
      </c>
      <c r="I61" s="62" t="inlineStr">
        <is>
          <t>pad_count=15 (direct DXF measurement)</t>
        </is>
      </c>
      <c r="J61" s="62" t="inlineStr">
        <is>
          <t>dxf_geometry: pad_count=15 (1 post per pad — DXF STRUCTURE layer)</t>
        </is>
      </c>
      <c r="K61" s="62">
        <f> pad_count = 15</f>
        <v/>
      </c>
      <c r="L61" s="62" t="inlineStr">
        <is>
          <t>MEDIUM</t>
        </is>
      </c>
    </row>
    <row r="62">
      <c r="A62" s="62" t="inlineStr">
        <is>
          <t>A17</t>
        </is>
      </c>
      <c r="B62" s="62" t="inlineStr">
        <is>
          <t>50111</t>
        </is>
      </c>
      <c r="C62" s="62" t="inlineStr">
        <is>
          <t>50111 - Fixings &amp; Connectors</t>
        </is>
      </c>
      <c r="D62" s="62" t="inlineStr">
        <is>
          <t>Triple Grip Connector (roof-to-wall uplift)</t>
        </is>
      </c>
      <c r="E62" s="62" t="inlineStr">
        <is>
          <t>Accessories | Triple Grip Connector (Pryda)</t>
        </is>
      </c>
      <c r="F62" s="62" t="inlineStr">
        <is>
          <t>nr</t>
        </is>
      </c>
      <c r="G62" s="62" t="n">
        <v>36</v>
      </c>
      <c r="H62" s="62" t="inlineStr">
        <is>
          <t>calculated</t>
        </is>
      </c>
      <c r="I62" s="62" t="inlineStr">
        <is>
          <t>eaves_lm(42.4m, DXF dxf_geometry HIGH) ÷ rafter_spacing(1.2m)</t>
        </is>
      </c>
      <c r="J62" s="62" t="inlineStr">
        <is>
          <t>dxf_geometry: roof_perimeter/eaves_length=42.4m (source=dxf_geometry, confidence=HIGH)</t>
        </is>
      </c>
      <c r="K62" s="62" t="inlineStr">
        <is>
          <t>ceil(42.4 / 1.2) = 36</t>
        </is>
      </c>
      <c r="L62" s="62" t="inlineStr">
        <is>
          <t>MEDIUM</t>
        </is>
      </c>
    </row>
    <row r="63">
      <c r="A63" s="62" t="inlineStr">
        <is>
          <t>A18</t>
        </is>
      </c>
      <c r="B63" s="62" t="inlineStr">
        <is>
          <t>50111</t>
        </is>
      </c>
      <c r="C63" s="62" t="inlineStr">
        <is>
          <t>50111 - Fixings &amp; Connectors</t>
        </is>
      </c>
      <c r="D63" s="62" t="inlineStr">
        <is>
          <t>Hold-Down Washer — Cyclonic (post base)</t>
        </is>
      </c>
      <c r="E63" s="62" t="inlineStr">
        <is>
          <t>Accessories | Hold Down Washer, Cyclonic</t>
        </is>
      </c>
      <c r="F63" s="62" t="inlineStr">
        <is>
          <t>nr</t>
        </is>
      </c>
      <c r="G63" s="62" t="n">
        <v>30</v>
      </c>
      <c r="H63" s="62" t="inlineStr">
        <is>
          <t>calculated</t>
        </is>
      </c>
      <c r="I63" s="62" t="inlineStr">
        <is>
          <t>pad_count(15) × 2 washers per pad</t>
        </is>
      </c>
      <c r="J63" s="62" t="inlineStr">
        <is>
          <t>dxf_geometry: pad_count=15</t>
        </is>
      </c>
      <c r="K63" s="62" t="inlineStr">
        <is>
          <t>15 × 2</t>
        </is>
      </c>
      <c r="L63" s="62" t="inlineStr">
        <is>
          <t>LOW</t>
        </is>
      </c>
    </row>
    <row r="64">
      <c r="A64" s="62" t="inlineStr">
        <is>
          <t>A19</t>
        </is>
      </c>
      <c r="B64" s="62" t="inlineStr">
        <is>
          <t>50111</t>
        </is>
      </c>
      <c r="C64" s="62" t="inlineStr">
        <is>
          <t>50111 - Fixings &amp; Connectors</t>
        </is>
      </c>
      <c r="D64" s="62" t="inlineStr">
        <is>
          <t>Fix Plate / Gusset Plate (strap bracing connection)</t>
        </is>
      </c>
      <c r="E64" s="62" t="inlineStr">
        <is>
          <t>Accessories | Fix Plate Connector, G350</t>
        </is>
      </c>
      <c r="F64" s="62" t="inlineStr">
        <is>
          <t>nr</t>
        </is>
      </c>
      <c r="G64" s="62" t="n">
        <v>34</v>
      </c>
      <c r="H64" s="62" t="inlineStr">
        <is>
          <t>calculated</t>
        </is>
      </c>
      <c r="I64" s="62" t="inlineStr">
        <is>
          <t>strap_runs(17) × 2 ends; strap_runs = ceil(wall_strap_lm(49.7) / avg_run(3.0m))</t>
        </is>
      </c>
      <c r="J64" s="62" t="inlineStr">
        <is>
          <t>framecad_bom: wall_strap_lm=49.73lm</t>
        </is>
      </c>
      <c r="K64" s="62" t="inlineStr">
        <is>
          <t>ceil(49.7/3.0) × 2 = 17 × 2 = 34</t>
        </is>
      </c>
      <c r="L64" s="62" t="inlineStr">
        <is>
          <t>LOW</t>
        </is>
      </c>
    </row>
    <row r="65">
      <c r="A65" s="62" t="inlineStr">
        <is>
          <t>A20</t>
        </is>
      </c>
      <c r="B65" s="62" t="inlineStr">
        <is>
          <t>50111</t>
        </is>
      </c>
      <c r="C65" s="62" t="inlineStr">
        <is>
          <t>50111 - Fixings &amp; Connectors</t>
        </is>
      </c>
      <c r="D65" s="62" t="inlineStr">
        <is>
          <t>Diagonal Strap Tensioner / Anchor (bracing strap end)</t>
        </is>
      </c>
      <c r="E65" s="62" t="inlineStr">
        <is>
          <t>Accessories | Strap Brace Tensioner</t>
        </is>
      </c>
      <c r="F65" s="62" t="inlineStr">
        <is>
          <t>nr</t>
        </is>
      </c>
      <c r="G65" s="62" t="n">
        <v>34</v>
      </c>
      <c r="H65" s="62" t="inlineStr">
        <is>
          <t>calculated</t>
        </is>
      </c>
      <c r="I65" s="62" t="inlineStr">
        <is>
          <t>strap_runs(17) × 2 ends</t>
        </is>
      </c>
      <c r="J65" s="62" t="inlineStr">
        <is>
          <t>framecad_bom: wall_strap_lm=49.73lm</t>
        </is>
      </c>
      <c r="K65" s="62" t="inlineStr">
        <is>
          <t>ceil(49.7/3.0) × 2</t>
        </is>
      </c>
      <c r="L65" s="62" t="inlineStr">
        <is>
          <t>LOW</t>
        </is>
      </c>
    </row>
    <row r="66">
      <c r="A66" s="62" t="inlineStr">
        <is>
          <t>A21</t>
        </is>
      </c>
      <c r="B66" s="62" t="inlineStr">
        <is>
          <t>50111</t>
        </is>
      </c>
      <c r="C66" s="62" t="inlineStr">
        <is>
          <t>50111 - Fixings &amp; Connectors</t>
        </is>
      </c>
      <c r="D66" s="62" t="inlineStr">
        <is>
          <t>Cable Grommet (LGS service penetration)</t>
        </is>
      </c>
      <c r="E66" s="62" t="inlineStr">
        <is>
          <t>Accessories | Grommet 35mm Dia</t>
        </is>
      </c>
      <c r="F66" s="62" t="inlineStr">
        <is>
          <t>nr</t>
        </is>
      </c>
      <c r="G66" s="62" t="n">
        <v>93</v>
      </c>
      <c r="H66" s="62" t="inlineStr">
        <is>
          <t>inferred</t>
        </is>
      </c>
      <c r="I66" s="62" t="inlineStr">
        <is>
          <t>int_wall_lm(29.4) × 2.5/m + ext_wall_lm(38.4) × 0.5/m</t>
        </is>
      </c>
      <c r="J66" s="62" t="inlineStr">
        <is>
          <t>dxf_geometry: int_wall_lm=29.4m, ext_wall_lm=38.4m</t>
        </is>
      </c>
      <c r="K66" s="62" t="inlineStr">
        <is>
          <t>ceil(29.4×2.5 + 38.4×0.5) = ceil(73.5+19.2) = 93</t>
        </is>
      </c>
      <c r="L66" s="62" t="inlineStr">
        <is>
          <t>LOW</t>
        </is>
      </c>
    </row>
    <row r="67">
      <c r="A67" s="62" t="inlineStr">
        <is>
          <t>A22</t>
        </is>
      </c>
      <c r="B67" s="62" t="inlineStr">
        <is>
          <t>50111</t>
        </is>
      </c>
      <c r="C67" s="62" t="inlineStr">
        <is>
          <t>50111 - Fixings &amp; Connectors</t>
        </is>
      </c>
      <c r="D67" s="62" t="inlineStr">
        <is>
          <t>Structural Fixings Remainder — Hex Bolts / Angles / Misc (PLACEHOLDER)</t>
        </is>
      </c>
      <c r="E67" s="62" t="inlineStr">
        <is>
          <t>Fixing | Structural Fixings Remainder (PLACEHOLDER)</t>
        </is>
      </c>
      <c r="F67" s="62" t="inlineStr">
        <is>
          <t>item</t>
        </is>
      </c>
      <c r="G67" s="62" t="n">
        <v>0</v>
      </c>
      <c r="H67" s="62" t="inlineStr">
        <is>
          <t>placeholder</t>
        </is>
      </c>
      <c r="I67" s="62" t="inlineStr">
        <is>
          <t>no FrameCAD connection schedule — grouped items not derivable</t>
        </is>
      </c>
      <c r="J67" s="62" t="inlineStr">
        <is>
          <t>no fixing schedule in source documents</t>
        </is>
      </c>
      <c r="K67" s="62" t="inlineStr">
        <is>
          <t>manual review required</t>
        </is>
      </c>
      <c r="L67" s="62" t="inlineStr">
        <is>
          <t>LOW</t>
        </is>
      </c>
    </row>
    <row r="68">
      <c r="A68" s="62" t="inlineStr">
        <is>
          <t>B01</t>
        </is>
      </c>
      <c r="B68" s="62" t="inlineStr">
        <is>
          <t>50112</t>
        </is>
      </c>
      <c r="C68" s="62" t="inlineStr">
        <is>
          <t>50112 - Roof &amp; Roof Plumbing</t>
        </is>
      </c>
      <c r="D68" s="62" t="inlineStr">
        <is>
          <t>Sisalation / Sarking</t>
        </is>
      </c>
      <c r="E68" s="62" t="inlineStr">
        <is>
          <t>Insulation | Sisalation / Sarking</t>
        </is>
      </c>
      <c r="F68" s="62" t="inlineStr">
        <is>
          <t>rolls</t>
        </is>
      </c>
      <c r="G68" s="62" t="n">
        <v>2</v>
      </c>
      <c r="H68" s="62" t="inlineStr">
        <is>
          <t>calculated</t>
        </is>
      </c>
      <c r="I68" s="62" t="inlineStr">
        <is>
          <t>ceil(roof_area / 73.0 m²/roll)</t>
        </is>
      </c>
      <c r="J68" s="62" t="inlineStr">
        <is>
          <t>dxf_geometry: roof_area=106.60 m²</t>
        </is>
      </c>
      <c r="K68" s="62" t="inlineStr">
        <is>
          <t>ceil(106.60 / 73.0)</t>
        </is>
      </c>
      <c r="L68" s="62" t="inlineStr">
        <is>
          <t>HIGH</t>
        </is>
      </c>
    </row>
    <row r="69">
      <c r="A69" s="62" t="inlineStr">
        <is>
          <t>B02</t>
        </is>
      </c>
      <c r="B69" s="62" t="inlineStr">
        <is>
          <t>50112</t>
        </is>
      </c>
      <c r="C69" s="62" t="inlineStr">
        <is>
          <t>50112 - Roof &amp; Roof Plumbing</t>
        </is>
      </c>
      <c r="D69" s="62" t="inlineStr">
        <is>
          <t>Hip Capping (metal, pre-formed)</t>
        </is>
      </c>
      <c r="E69" s="62" t="inlineStr">
        <is>
          <t>Hip Capping (metal, pre-formed)</t>
        </is>
      </c>
      <c r="F69" s="62" t="inlineStr">
        <is>
          <t>lm</t>
        </is>
      </c>
      <c r="G69" s="62" t="n">
        <v>23.6</v>
      </c>
      <c r="H69" s="62" t="inlineStr">
        <is>
          <t>calculated</t>
        </is>
      </c>
      <c r="I69" s="62" t="inlineStr">
        <is>
          <t>4 × sqrt((rafter_run×√2)² + (rafter_run×tan(pitch))²)</t>
        </is>
      </c>
      <c r="J69" s="62" t="inlineStr">
        <is>
          <t>framecad_layout: pitch=15.0° (FrameCAD Truss Design Summary); dxf_geometry: rafter_run=4.10 m → hip_plan=5.80 m, rise=1.099 m → hip_slope=5.90 m × 4 hips = 23.6 lm</t>
        </is>
      </c>
      <c r="K69" s="62" t="inlineStr">
        <is>
          <t>4×sqrt((4.10×√2)²+(1.099)²) = 4×5.90 = 23.6 lm</t>
        </is>
      </c>
      <c r="L69" s="62" t="inlineStr">
        <is>
          <t>MEDIUM</t>
        </is>
      </c>
    </row>
    <row r="70">
      <c r="A70" s="62" t="inlineStr">
        <is>
          <t>B03</t>
        </is>
      </c>
      <c r="B70" s="62" t="inlineStr">
        <is>
          <t>50112</t>
        </is>
      </c>
      <c r="C70" s="62" t="inlineStr">
        <is>
          <t>50112 - Roof &amp; Roof Plumbing</t>
        </is>
      </c>
      <c r="D70" s="62" t="inlineStr">
        <is>
          <t>Hip Cap Fixing Screws</t>
        </is>
      </c>
      <c r="E70" s="62" t="inlineStr">
        <is>
          <t>Hip Cap Fixing Screws</t>
        </is>
      </c>
      <c r="F70" s="62" t="inlineStr">
        <is>
          <t>nr</t>
        </is>
      </c>
      <c r="G70" s="62" t="n">
        <v>79</v>
      </c>
      <c r="H70" s="62" t="inlineStr">
        <is>
          <t>calculated</t>
        </is>
      </c>
      <c r="I70" s="62" t="inlineStr">
        <is>
          <t>ceil(hip_lm / 0.3)</t>
        </is>
      </c>
      <c r="J70" s="62" t="inlineStr">
        <is>
          <t>framecad_layout: pitch=15.0° (FrameCAD Truss Design Summary); dxf_geometry: rafter_run=4.10 m → hip_plan=5.80 m, rise=1.099 m → hip_slope=5.90 m × 4 hips = 23.6 lm</t>
        </is>
      </c>
      <c r="K70" s="62" t="inlineStr">
        <is>
          <t>ceil(23.6 / 0.3) = 79</t>
        </is>
      </c>
      <c r="L70" s="62" t="inlineStr">
        <is>
          <t>MEDIUM</t>
        </is>
      </c>
    </row>
    <row r="71">
      <c r="A71" s="62" t="inlineStr">
        <is>
          <t>B04</t>
        </is>
      </c>
      <c r="B71" s="62" t="inlineStr">
        <is>
          <t>50112</t>
        </is>
      </c>
      <c r="C71" s="62" t="inlineStr">
        <is>
          <t>50112 - Roof &amp; Roof Plumbing</t>
        </is>
      </c>
      <c r="D71" s="62" t="inlineStr">
        <is>
          <t>Roof Tek Screws</t>
        </is>
      </c>
      <c r="E71" s="62" t="inlineStr">
        <is>
          <t>Fixing | Roof Tek Screw, Hex Head, DP</t>
        </is>
      </c>
      <c r="F71" s="62" t="inlineStr">
        <is>
          <t>boxes</t>
        </is>
      </c>
      <c r="G71" s="62" t="n">
        <v>11</v>
      </c>
      <c r="H71" s="62" t="inlineStr">
        <is>
          <t>calculated</t>
        </is>
      </c>
      <c r="I71" s="62" t="inlineStr">
        <is>
          <t>assembly_rule:roof_cladding</t>
        </is>
      </c>
      <c r="J71" s="62" t="inlineStr">
        <is>
          <t>dxf_geometry: roof_area=106.60 m²</t>
        </is>
      </c>
      <c r="K71" s="62" t="inlineStr">
        <is>
          <t>roof_cladding → ceil(x / 10)  [note: 1 box per 10 m² (approx 250 screws/box at 25 screws/m²)]</t>
        </is>
      </c>
      <c r="L71" s="62" t="inlineStr">
        <is>
          <t>MEDIUM</t>
        </is>
      </c>
    </row>
    <row r="72">
      <c r="A72" s="62" t="inlineStr">
        <is>
          <t>B05</t>
        </is>
      </c>
      <c r="B72" s="62" t="inlineStr">
        <is>
          <t>50112</t>
        </is>
      </c>
      <c r="C72" s="62" t="inlineStr">
        <is>
          <t>50112 - Roof &amp; Roof Plumbing</t>
        </is>
      </c>
      <c r="D72" s="62" t="inlineStr">
        <is>
          <t>Roof Cladding Sheet (corrugated / CGI)</t>
        </is>
      </c>
      <c r="E72" s="62" t="inlineStr">
        <is>
          <t>Roof Cladding | Custom Orb Corrugated CGI Sheet</t>
        </is>
      </c>
      <c r="F72" s="62" t="inlineStr">
        <is>
          <t>sheets</t>
        </is>
      </c>
      <c r="G72" s="62" t="n">
        <v>33</v>
      </c>
      <c r="H72" s="62" t="inlineStr">
        <is>
          <t>calculated</t>
        </is>
      </c>
      <c r="I72" s="62" t="inlineStr">
        <is>
          <t>area×waste / (cover_w×sheet_len) = 106.6×1.05/(0.762×4.5m)</t>
        </is>
      </c>
      <c r="J72" s="62" t="inlineStr">
        <is>
          <t>dxf_geometry: roof_area=106.60 m², eaves_lm=42.40 m, rafter_run=4.10 m</t>
        </is>
      </c>
      <c r="K72" s="62" t="inlineStr">
        <is>
          <t>ceil(area × 1.05 / (0.762 × 4.5m))</t>
        </is>
      </c>
      <c r="L72" s="62" t="inlineStr">
        <is>
          <t>MEDIUM</t>
        </is>
      </c>
    </row>
    <row r="73">
      <c r="A73" s="62" t="inlineStr">
        <is>
          <t>B06</t>
        </is>
      </c>
      <c r="B73" s="62" t="inlineStr">
        <is>
          <t>50112</t>
        </is>
      </c>
      <c r="C73" s="62" t="inlineStr">
        <is>
          <t>50112 - Roof &amp; Roof Plumbing</t>
        </is>
      </c>
      <c r="D73" s="62" t="inlineStr">
        <is>
          <t>Roof Cladding Sheet — Total Supply Area (4.5m stock)</t>
        </is>
      </c>
      <c r="E73" s="62" t="inlineStr">
        <is>
          <t>Roof Cladding | Custom Orb CGI Sheet</t>
        </is>
      </c>
      <c r="F73" s="62" t="inlineStr">
        <is>
          <t>m2</t>
        </is>
      </c>
      <c r="G73" s="62" t="n">
        <v>113.16</v>
      </c>
      <c r="H73" s="62" t="inlineStr">
        <is>
          <t>calculated</t>
        </is>
      </c>
      <c r="I73" s="62" t="inlineStr">
        <is>
          <t>sheet_count(33) × cover_w(0.762m) × sheet_len(4.5m) = 113.16m²</t>
        </is>
      </c>
      <c r="J73" s="62" t="inlineStr">
        <is>
          <t>dxf_geometry: roof_area=106.60 m²</t>
        </is>
      </c>
      <c r="K73" s="62" t="inlineStr">
        <is>
          <t>33 × 0.762 × 4.5</t>
        </is>
      </c>
      <c r="L73" s="62" t="inlineStr">
        <is>
          <t>MEDIUM</t>
        </is>
      </c>
    </row>
    <row r="74">
      <c r="A74" s="62" t="inlineStr">
        <is>
          <t>B07</t>
        </is>
      </c>
      <c r="B74" s="62" t="inlineStr">
        <is>
          <t>50112</t>
        </is>
      </c>
      <c r="C74" s="62" t="inlineStr">
        <is>
          <t>50112 - Roof &amp; Roof Plumbing</t>
        </is>
      </c>
      <c r="D74" s="62" t="inlineStr">
        <is>
          <t>Ridge Capping</t>
        </is>
      </c>
      <c r="E74" s="62" t="inlineStr">
        <is>
          <t>Ridge Cap | Galvanised, lm</t>
        </is>
      </c>
      <c r="F74" s="62" t="inlineStr">
        <is>
          <t>lm</t>
        </is>
      </c>
      <c r="G74" s="62" t="n">
        <v>4.8</v>
      </c>
      <c r="H74" s="62" t="inlineStr">
        <is>
          <t>calculated</t>
        </is>
      </c>
      <c r="I74" s="62" t="inlineStr">
        <is>
          <t>assembly_rule:roof_ridge</t>
        </is>
      </c>
      <c r="J74" s="62" t="inlineStr">
        <is>
          <t>dxf_geometry: ridge_length=4.80 lm</t>
        </is>
      </c>
      <c r="K74" s="62" t="inlineStr">
        <is>
          <t>roof_ridge → x</t>
        </is>
      </c>
      <c r="L74" s="62" t="inlineStr">
        <is>
          <t>MEDIUM</t>
        </is>
      </c>
    </row>
    <row r="75">
      <c r="A75" s="62" t="inlineStr">
        <is>
          <t>B08</t>
        </is>
      </c>
      <c r="B75" s="62" t="inlineStr">
        <is>
          <t>50112</t>
        </is>
      </c>
      <c r="C75" s="62" t="inlineStr">
        <is>
          <t>50112 - Roof &amp; Roof Plumbing</t>
        </is>
      </c>
      <c r="D75" s="62" t="inlineStr">
        <is>
          <t>Ridge Cap Fixing Screws</t>
        </is>
      </c>
      <c r="E75" s="62" t="inlineStr">
        <is>
          <t>Fixing | Ridge Cap Hex Head Screw</t>
        </is>
      </c>
      <c r="F75" s="62" t="inlineStr">
        <is>
          <t>nr</t>
        </is>
      </c>
      <c r="G75" s="62" t="n">
        <v>16</v>
      </c>
      <c r="H75" s="62" t="inlineStr">
        <is>
          <t>calculated</t>
        </is>
      </c>
      <c r="I75" s="62" t="inlineStr">
        <is>
          <t>assembly_rule:roof_ridge</t>
        </is>
      </c>
      <c r="J75" s="62" t="inlineStr">
        <is>
          <t>dxf_geometry: ridge_length=4.80 lm</t>
        </is>
      </c>
      <c r="K75" s="62" t="inlineStr">
        <is>
          <t>roof_ridge → ceil(x / 0.3)  [note: 1 screw per 300 mm]</t>
        </is>
      </c>
      <c r="L75" s="62" t="inlineStr">
        <is>
          <t>MEDIUM</t>
        </is>
      </c>
    </row>
    <row r="76">
      <c r="A76" s="62" t="inlineStr">
        <is>
          <t>B09</t>
        </is>
      </c>
      <c r="B76" s="62" t="inlineStr">
        <is>
          <t>50112</t>
        </is>
      </c>
      <c r="C76" s="62" t="inlineStr">
        <is>
          <t>50112 - Roof &amp; Roof Plumbing</t>
        </is>
      </c>
      <c r="D76" s="62" t="inlineStr">
        <is>
          <t>Ridge End Cap</t>
        </is>
      </c>
      <c r="E76" s="62" t="inlineStr">
        <is>
          <t>Ridge End Cap | Galvanised</t>
        </is>
      </c>
      <c r="F76" s="62" t="inlineStr">
        <is>
          <t>nr</t>
        </is>
      </c>
      <c r="G76" s="62" t="n">
        <v>2</v>
      </c>
      <c r="H76" s="62" t="inlineStr">
        <is>
          <t>calculated</t>
        </is>
      </c>
      <c r="I76" s="62" t="inlineStr">
        <is>
          <t>assembly_rule:roof_ridge</t>
        </is>
      </c>
      <c r="J76" s="62" t="inlineStr">
        <is>
          <t>dxf_geometry: ridge_length=4.80 lm</t>
        </is>
      </c>
      <c r="K76" s="62" t="inlineStr">
        <is>
          <t>roof_ridge → 2  [note: 2 end caps per ridge run (one each end)]</t>
        </is>
      </c>
      <c r="L76" s="62" t="inlineStr">
        <is>
          <t>MEDIUM</t>
        </is>
      </c>
    </row>
    <row r="77">
      <c r="A77" s="62" t="inlineStr">
        <is>
          <t>B10</t>
        </is>
      </c>
      <c r="B77" s="62" t="inlineStr">
        <is>
          <t>50112</t>
        </is>
      </c>
      <c r="C77" s="62" t="inlineStr">
        <is>
          <t>50112 - Roof &amp; Roof Plumbing</t>
        </is>
      </c>
      <c r="D77" s="62" t="inlineStr">
        <is>
          <t>Fascia Board</t>
        </is>
      </c>
      <c r="E77" s="62" t="inlineStr">
        <is>
          <t>Fascia Board | Galvanised, lm</t>
        </is>
      </c>
      <c r="F77" s="62" t="inlineStr">
        <is>
          <t>lm</t>
        </is>
      </c>
      <c r="G77" s="62" t="n">
        <v>42.4</v>
      </c>
      <c r="H77" s="62" t="inlineStr">
        <is>
          <t>calculated</t>
        </is>
      </c>
      <c r="I77" s="62" t="inlineStr">
        <is>
          <t>assembly_rule:roof_eaves</t>
        </is>
      </c>
      <c r="J77" s="62" t="inlineStr">
        <is>
          <t>dxf_geometry: eaves_length=42.40 lm</t>
        </is>
      </c>
      <c r="K77" s="62" t="inlineStr">
        <is>
          <t>roof_eaves → x</t>
        </is>
      </c>
      <c r="L77" s="62" t="inlineStr">
        <is>
          <t>MEDIUM</t>
        </is>
      </c>
    </row>
    <row r="78">
      <c r="A78" s="62" t="inlineStr">
        <is>
          <t>B11</t>
        </is>
      </c>
      <c r="B78" s="62" t="inlineStr">
        <is>
          <t>50112</t>
        </is>
      </c>
      <c r="C78" s="62" t="inlineStr">
        <is>
          <t>50112 - Roof &amp; Roof Plumbing</t>
        </is>
      </c>
      <c r="D78" s="62" t="inlineStr">
        <is>
          <t>Fascia Clips</t>
        </is>
      </c>
      <c r="E78" s="62" t="inlineStr">
        <is>
          <t>Fascia | Clips</t>
        </is>
      </c>
      <c r="F78" s="62" t="inlineStr">
        <is>
          <t>nr</t>
        </is>
      </c>
      <c r="G78" s="62" t="n">
        <v>71</v>
      </c>
      <c r="H78" s="62" t="inlineStr">
        <is>
          <t>calculated</t>
        </is>
      </c>
      <c r="I78" s="62" t="inlineStr">
        <is>
          <t>assembly_rule:roof_eaves</t>
        </is>
      </c>
      <c r="J78" s="62" t="inlineStr">
        <is>
          <t>dxf_geometry: eaves_length=42.40 lm</t>
        </is>
      </c>
      <c r="K78" s="62" t="inlineStr">
        <is>
          <t>roof_eaves → ceil(x / 0.6)  [note: 1 clip per 600 mm]</t>
        </is>
      </c>
      <c r="L78" s="62" t="inlineStr">
        <is>
          <t>MEDIUM</t>
        </is>
      </c>
    </row>
    <row r="79">
      <c r="A79" s="62" t="inlineStr">
        <is>
          <t>B12</t>
        </is>
      </c>
      <c r="B79" s="62" t="inlineStr">
        <is>
          <t>50112</t>
        </is>
      </c>
      <c r="C79" s="62" t="inlineStr">
        <is>
          <t>50112 - Roof &amp; Roof Plumbing</t>
        </is>
      </c>
      <c r="D79" s="62" t="inlineStr">
        <is>
          <t>Birdproof Foam Strip</t>
        </is>
      </c>
      <c r="E79" s="62" t="inlineStr">
        <is>
          <t>Accessories | Birdproof Foam Strip</t>
        </is>
      </c>
      <c r="F79" s="62" t="inlineStr">
        <is>
          <t>lm</t>
        </is>
      </c>
      <c r="G79" s="62" t="n">
        <v>42.4</v>
      </c>
      <c r="H79" s="62" t="inlineStr">
        <is>
          <t>calculated</t>
        </is>
      </c>
      <c r="I79" s="62" t="inlineStr">
        <is>
          <t>assembly_rule:roof_eaves</t>
        </is>
      </c>
      <c r="J79" s="62" t="inlineStr">
        <is>
          <t>dxf_geometry: eaves_length=42.40 lm</t>
        </is>
      </c>
      <c r="K79" s="62" t="inlineStr">
        <is>
          <t>roof_eaves → x  [note: runs full eaves length]</t>
        </is>
      </c>
      <c r="L79" s="62" t="inlineStr">
        <is>
          <t>MEDIUM</t>
        </is>
      </c>
    </row>
    <row r="80">
      <c r="A80" s="62" t="inlineStr">
        <is>
          <t>B13</t>
        </is>
      </c>
      <c r="B80" s="62" t="inlineStr">
        <is>
          <t>50112</t>
        </is>
      </c>
      <c r="C80" s="62" t="inlineStr">
        <is>
          <t>50112 - Roof &amp; Roof Plumbing</t>
        </is>
      </c>
      <c r="D80" s="62" t="inlineStr">
        <is>
          <t>Eaves Gutter</t>
        </is>
      </c>
      <c r="E80" s="62" t="inlineStr">
        <is>
          <t>SL-14 | PVC Box Gutter</t>
        </is>
      </c>
      <c r="F80" s="62" t="inlineStr">
        <is>
          <t>lm</t>
        </is>
      </c>
      <c r="G80" s="62" t="n">
        <v>42.4</v>
      </c>
      <c r="H80" s="62" t="inlineStr">
        <is>
          <t>calculated</t>
        </is>
      </c>
      <c r="I80" s="62" t="inlineStr">
        <is>
          <t>assembly_rule:roof_eaves</t>
        </is>
      </c>
      <c r="J80" s="62" t="inlineStr">
        <is>
          <t>dxf_geometry: eaves_length=42.40 lm</t>
        </is>
      </c>
      <c r="K80" s="62" t="inlineStr">
        <is>
          <t>roof_eaves → x</t>
        </is>
      </c>
      <c r="L80" s="62" t="inlineStr">
        <is>
          <t>MEDIUM</t>
        </is>
      </c>
    </row>
    <row r="81">
      <c r="A81" s="62" t="inlineStr">
        <is>
          <t>B14</t>
        </is>
      </c>
      <c r="B81" s="62" t="inlineStr">
        <is>
          <t>50112</t>
        </is>
      </c>
      <c r="C81" s="62" t="inlineStr">
        <is>
          <t>50112 - Roof &amp; Roof Plumbing</t>
        </is>
      </c>
      <c r="D81" s="62" t="inlineStr">
        <is>
          <t>Gutter Joiner</t>
        </is>
      </c>
      <c r="E81" s="62" t="inlineStr">
        <is>
          <t>SL-14 | PVC Gutter Joiner</t>
        </is>
      </c>
      <c r="F81" s="62" t="inlineStr">
        <is>
          <t>nr</t>
        </is>
      </c>
      <c r="G81" s="62" t="n">
        <v>3</v>
      </c>
      <c r="H81" s="62" t="inlineStr">
        <is>
          <t>calculated</t>
        </is>
      </c>
      <c r="I81" s="62" t="inlineStr">
        <is>
          <t>assembly_rule:roof_eaves</t>
        </is>
      </c>
      <c r="J81" s="62" t="inlineStr">
        <is>
          <t>dxf_geometry: eaves_length=42.40 lm</t>
        </is>
      </c>
      <c r="K81" s="62" t="inlineStr">
        <is>
          <t>roof_eaves → max(0, ceil(x / 6.0) - ceil(x / 10))  [note: PVC box gutter 6 m stock: joiners = total_lengths − estimated_run_count (≈eaves/10 m per run)]</t>
        </is>
      </c>
      <c r="L81" s="62" t="inlineStr">
        <is>
          <t>MEDIUM</t>
        </is>
      </c>
    </row>
    <row r="82">
      <c r="A82" s="62" t="inlineStr">
        <is>
          <t>B15</t>
        </is>
      </c>
      <c r="B82" s="62" t="inlineStr">
        <is>
          <t>50112</t>
        </is>
      </c>
      <c r="C82" s="62" t="inlineStr">
        <is>
          <t>50112 - Roof &amp; Roof Plumbing</t>
        </is>
      </c>
      <c r="D82" s="62" t="inlineStr">
        <is>
          <t>Gutter Stop End</t>
        </is>
      </c>
      <c r="E82" s="62" t="inlineStr">
        <is>
          <t>SL-14 | PVC Gutter Stop End</t>
        </is>
      </c>
      <c r="F82" s="62" t="inlineStr">
        <is>
          <t>nr</t>
        </is>
      </c>
      <c r="G82" s="62" t="n">
        <v>6</v>
      </c>
      <c r="H82" s="62" t="inlineStr">
        <is>
          <t>calculated</t>
        </is>
      </c>
      <c r="I82" s="62" t="inlineStr">
        <is>
          <t>assembly_rule:roof_eaves</t>
        </is>
      </c>
      <c r="J82" s="62" t="inlineStr">
        <is>
          <t>dxf_geometry: eaves_length=42.40 lm</t>
        </is>
      </c>
      <c r="K82" s="62" t="inlineStr">
        <is>
          <t>roof_eaves → max(2, ceil(x / 20) * 2)  [note: 2 per run; add 2 per extra run &gt; 20 m]</t>
        </is>
      </c>
      <c r="L82" s="62" t="inlineStr">
        <is>
          <t>MEDIUM</t>
        </is>
      </c>
    </row>
    <row r="83">
      <c r="A83" s="62" t="inlineStr">
        <is>
          <t>B16</t>
        </is>
      </c>
      <c r="B83" s="62" t="inlineStr">
        <is>
          <t>50112</t>
        </is>
      </c>
      <c r="C83" s="62" t="inlineStr">
        <is>
          <t>50112 - Roof &amp; Roof Plumbing</t>
        </is>
      </c>
      <c r="D83" s="62" t="inlineStr">
        <is>
          <t>PVC Downpipe</t>
        </is>
      </c>
      <c r="E83" s="62" t="inlineStr">
        <is>
          <t>SL-14 | PVC Downpipe, 68mm</t>
        </is>
      </c>
      <c r="F83" s="62" t="inlineStr">
        <is>
          <t>nr</t>
        </is>
      </c>
      <c r="G83" s="62" t="n">
        <v>6</v>
      </c>
      <c r="H83" s="62" t="inlineStr">
        <is>
          <t>calculated</t>
        </is>
      </c>
      <c r="I83" s="62" t="inlineStr">
        <is>
          <t>assembly_rule:roof_drainage</t>
        </is>
      </c>
      <c r="J83" s="62" t="inlineStr">
        <is>
          <t>dxf_geometry: downpipe_count=6</t>
        </is>
      </c>
      <c r="K83" s="62" t="inlineStr">
        <is>
          <t>roof_drainage → x</t>
        </is>
      </c>
      <c r="L83" s="62" t="inlineStr">
        <is>
          <t>MEDIUM</t>
        </is>
      </c>
    </row>
    <row r="84">
      <c r="A84" s="62" t="inlineStr">
        <is>
          <t>B17</t>
        </is>
      </c>
      <c r="B84" s="62" t="inlineStr">
        <is>
          <t>50112</t>
        </is>
      </c>
      <c r="C84" s="62" t="inlineStr">
        <is>
          <t>50112 - Roof &amp; Roof Plumbing</t>
        </is>
      </c>
      <c r="D84" s="62" t="inlineStr">
        <is>
          <t>Gutter Drop Outlet</t>
        </is>
      </c>
      <c r="E84" s="62" t="inlineStr">
        <is>
          <t>SL-14 | PVC Gutter Drop Outlet</t>
        </is>
      </c>
      <c r="F84" s="62" t="inlineStr">
        <is>
          <t>nr</t>
        </is>
      </c>
      <c r="G84" s="62" t="n">
        <v>6</v>
      </c>
      <c r="H84" s="62" t="inlineStr">
        <is>
          <t>calculated</t>
        </is>
      </c>
      <c r="I84" s="62" t="inlineStr">
        <is>
          <t>assembly_rule:roof_drainage</t>
        </is>
      </c>
      <c r="J84" s="62" t="inlineStr">
        <is>
          <t>dxf_geometry: downpipe_count=6</t>
        </is>
      </c>
      <c r="K84" s="62" t="inlineStr">
        <is>
          <t>roof_drainage → x</t>
        </is>
      </c>
      <c r="L84" s="62" t="inlineStr">
        <is>
          <t>MEDIUM</t>
        </is>
      </c>
    </row>
    <row r="85">
      <c r="A85" s="62" t="inlineStr">
        <is>
          <t>B18</t>
        </is>
      </c>
      <c r="B85" s="62" t="inlineStr">
        <is>
          <t>50112</t>
        </is>
      </c>
      <c r="C85" s="62" t="inlineStr">
        <is>
          <t>50112 - Roof &amp; Roof Plumbing</t>
        </is>
      </c>
      <c r="D85" s="62" t="inlineStr">
        <is>
          <t>Downpipe Elbow (90°)</t>
        </is>
      </c>
      <c r="E85" s="62" t="inlineStr">
        <is>
          <t>SL-14 | PVC Downpipe Elbow, 90°</t>
        </is>
      </c>
      <c r="F85" s="62" t="inlineStr">
        <is>
          <t>nr</t>
        </is>
      </c>
      <c r="G85" s="62" t="n">
        <v>12</v>
      </c>
      <c r="H85" s="62" t="inlineStr">
        <is>
          <t>calculated</t>
        </is>
      </c>
      <c r="I85" s="62" t="inlineStr">
        <is>
          <t>assembly_rule:roof_drainage</t>
        </is>
      </c>
      <c r="J85" s="62" t="inlineStr">
        <is>
          <t>dxf_geometry: downpipe_count=6</t>
        </is>
      </c>
      <c r="K85" s="62" t="inlineStr">
        <is>
          <t>roof_drainage → x * 2  [note: top + bottom elbow per downpipe]</t>
        </is>
      </c>
      <c r="L85" s="62" t="inlineStr">
        <is>
          <t>MEDIUM</t>
        </is>
      </c>
    </row>
    <row r="86">
      <c r="A86" s="62" t="inlineStr">
        <is>
          <t>B19</t>
        </is>
      </c>
      <c r="B86" s="62" t="inlineStr">
        <is>
          <t>50112</t>
        </is>
      </c>
      <c r="C86" s="62" t="inlineStr">
        <is>
          <t>50112 - Roof &amp; Roof Plumbing</t>
        </is>
      </c>
      <c r="D86" s="62" t="inlineStr">
        <is>
          <t>Downpipe Clip / Saddle</t>
        </is>
      </c>
      <c r="E86" s="62" t="inlineStr">
        <is>
          <t>SL-14 | PVC Downpipe Clip</t>
        </is>
      </c>
      <c r="F86" s="62" t="inlineStr">
        <is>
          <t>nr</t>
        </is>
      </c>
      <c r="G86" s="62" t="n">
        <v>18</v>
      </c>
      <c r="H86" s="62" t="inlineStr">
        <is>
          <t>calculated</t>
        </is>
      </c>
      <c r="I86" s="62" t="inlineStr">
        <is>
          <t>assembly_rule:roof_drainage</t>
        </is>
      </c>
      <c r="J86" s="62" t="inlineStr">
        <is>
          <t>dxf_geometry: downpipe_count=6</t>
        </is>
      </c>
      <c r="K86" s="62" t="inlineStr">
        <is>
          <t>roof_drainage → x * 3  [note: approx 3 clips per 3 m drop]</t>
        </is>
      </c>
      <c r="L86" s="62" t="inlineStr">
        <is>
          <t>MEDIUM</t>
        </is>
      </c>
    </row>
    <row r="87">
      <c r="A87" s="62" t="inlineStr">
        <is>
          <t>K04</t>
        </is>
      </c>
      <c r="B87" s="62" t="inlineStr">
        <is>
          <t>50113</t>
        </is>
      </c>
      <c r="C87" s="62" t="inlineStr">
        <is>
          <t>50113 - External Cladding</t>
        </is>
      </c>
      <c r="D87" s="62" t="inlineStr">
        <is>
          <t>External Wall Cladding — FC Weatherboard (supply &amp; fix)</t>
        </is>
      </c>
      <c r="E87" s="62" t="inlineStr">
        <is>
          <t>External Cladding | FC Weatherboard</t>
        </is>
      </c>
      <c r="F87" s="62" t="inlineStr">
        <is>
          <t>m2</t>
        </is>
      </c>
      <c r="G87" s="62" t="n">
        <v>77.51000000000001</v>
      </c>
      <c r="H87" s="62" t="inlineStr">
        <is>
          <t>calculated</t>
        </is>
      </c>
      <c r="I87" s="62" t="inlineStr">
        <is>
          <t>ext_wall_lm(38.40) × wall_h(2.4) − ext_doors(1.877) − ext_windows(12.775)</t>
        </is>
      </c>
      <c r="J87" s="62" t="inlineStr">
        <is>
          <t>dxf_geometry: ext_wall_perimeter=38.40 m, h=2.4 m</t>
        </is>
      </c>
      <c r="K87" s="62" t="inlineStr">
        <is>
          <t>38.40 × 2.4 − 14.652</t>
        </is>
      </c>
      <c r="L87" s="62" t="inlineStr">
        <is>
          <t>HIGH</t>
        </is>
      </c>
    </row>
    <row r="88">
      <c r="A88" s="62" t="inlineStr">
        <is>
          <t>K05</t>
        </is>
      </c>
      <c r="B88" s="62" t="inlineStr">
        <is>
          <t>50113</t>
        </is>
      </c>
      <c r="C88" s="62" t="inlineStr">
        <is>
          <t>50113 - External Cladding</t>
        </is>
      </c>
      <c r="D88" s="62" t="inlineStr">
        <is>
          <t>FC Weatherboard — Board Count</t>
        </is>
      </c>
      <c r="E88" s="62" t="inlineStr">
        <is>
          <t>External Cladding | FC Weatherboard (Board Count)</t>
        </is>
      </c>
      <c r="F88" s="62" t="inlineStr">
        <is>
          <t>nr</t>
        </is>
      </c>
      <c r="G88" s="62" t="n">
        <v>126</v>
      </c>
      <c r="H88" s="62" t="inlineStr">
        <is>
          <t>calculated</t>
        </is>
      </c>
      <c r="I88" s="62" t="inlineStr">
        <is>
          <t>rows_of_boards=12 (h=2400mm / 200mm exp) × boards_per_row=10 (lm=38.4m / 4.2m) × waste=1.05</t>
        </is>
      </c>
      <c r="J88" s="62" t="inlineStr">
        <is>
          <t>dxf_geometry: ext_lm=38.40 m, wall_h=2.4 m</t>
        </is>
      </c>
      <c r="K88" s="62" t="inlineStr">
        <is>
          <t>ceil(h/exp) × ceil(lm/board_l) × waste</t>
        </is>
      </c>
      <c r="L88" s="62" t="inlineStr">
        <is>
          <t>MEDIUM</t>
        </is>
      </c>
    </row>
    <row r="89">
      <c r="A89" s="62" t="inlineStr">
        <is>
          <t>K06</t>
        </is>
      </c>
      <c r="B89" s="62" t="inlineStr">
        <is>
          <t>50113</t>
        </is>
      </c>
      <c r="C89" s="62" t="inlineStr">
        <is>
          <t>50113 - External Cladding</t>
        </is>
      </c>
      <c r="D89" s="62" t="inlineStr">
        <is>
          <t>FC Weatherboard — Total Supply lm (4200mm stock)</t>
        </is>
      </c>
      <c r="E89" s="62" t="inlineStr">
        <is>
          <t>External Cladding | FC Weatherboard (Supply lm)</t>
        </is>
      </c>
      <c r="F89" s="62" t="inlineStr">
        <is>
          <t>lm</t>
        </is>
      </c>
      <c r="G89" s="62" t="n">
        <v>529.2</v>
      </c>
      <c r="H89" s="62" t="inlineStr">
        <is>
          <t>calculated</t>
        </is>
      </c>
      <c r="I89" s="62" t="inlineStr">
        <is>
          <t>board_count(126) × board_length(4.2m) = 529.2 lm</t>
        </is>
      </c>
      <c r="J89" s="62" t="inlineStr">
        <is>
          <t>dxf_geometry: ext_lm=38.40 m, wall_h=2.4 m</t>
        </is>
      </c>
      <c r="K89" s="62" t="inlineStr">
        <is>
          <t>126 × 4.2</t>
        </is>
      </c>
      <c r="L89" s="62" t="inlineStr">
        <is>
          <t>MEDIUM</t>
        </is>
      </c>
    </row>
    <row r="90">
      <c r="A90" s="62" t="inlineStr">
        <is>
          <t>K07</t>
        </is>
      </c>
      <c r="B90" s="62" t="inlineStr">
        <is>
          <t>50113</t>
        </is>
      </c>
      <c r="C90" s="62" t="inlineStr">
        <is>
          <t>50113 - External Cladding</t>
        </is>
      </c>
      <c r="D90" s="62" t="inlineStr">
        <is>
          <t>FC Weatherboard H-Joiner Extrusion</t>
        </is>
      </c>
      <c r="E90" s="62" t="inlineStr">
        <is>
          <t>External Cladding | FC H-Joiner Extrusion</t>
        </is>
      </c>
      <c r="F90" s="62" t="inlineStr">
        <is>
          <t>nr</t>
        </is>
      </c>
      <c r="G90" s="62" t="n">
        <v>72</v>
      </c>
      <c r="H90" s="62" t="inlineStr">
        <is>
          <t>calculated</t>
        </is>
      </c>
      <c r="I90" s="62" t="inlineStr">
        <is>
          <t>per-façade: 2×L-face (2×2=4 joiners/row) + 2×W-face (1×2=2 joiners/row) × 12 rows; derived from floor L=12.0m W=7.2m</t>
        </is>
      </c>
      <c r="J90" s="62" t="inlineStr">
        <is>
          <t>dxf_geometry: floor_area=86.4m² + ext_perim=38.4m → L=12.0m W=7.2m</t>
        </is>
      </c>
      <c r="K90" s="62" t="inlineStr">
        <is>
          <t>per-façade: joiners per face × rows_of_boards</t>
        </is>
      </c>
      <c r="L90" s="62" t="inlineStr">
        <is>
          <t>MEDIUM</t>
        </is>
      </c>
    </row>
    <row r="91">
      <c r="A91" s="62" t="inlineStr">
        <is>
          <t>K08</t>
        </is>
      </c>
      <c r="B91" s="62" t="inlineStr">
        <is>
          <t>50113</t>
        </is>
      </c>
      <c r="C91" s="62" t="inlineStr">
        <is>
          <t>50113 - External Cladding</t>
        </is>
      </c>
      <c r="D91" s="62" t="inlineStr">
        <is>
          <t>External Corner Flashing (FC cladding)</t>
        </is>
      </c>
      <c r="E91" s="62" t="inlineStr">
        <is>
          <t>External Cladding | Corner Flashing, Galvanised</t>
        </is>
      </c>
      <c r="F91" s="62" t="inlineStr">
        <is>
          <t>nr</t>
        </is>
      </c>
      <c r="G91" s="62" t="n">
        <v>4</v>
      </c>
      <c r="H91" s="62" t="inlineStr">
        <is>
          <t>inferred</t>
        </is>
      </c>
      <c r="I91" s="62" t="inlineStr">
        <is>
          <t>rectangular footprint: L=12.0m × W=7.2m (2×(L+W)=38.4m ≈ measured perim 38.4m)</t>
        </is>
      </c>
      <c r="J91" s="62" t="inlineStr">
        <is>
          <t>dxf_geometry: ext_wall_perimeter=38.4m, floor_area=86.4m² → L=12.0m W=7.2m</t>
        </is>
      </c>
      <c r="K91" s="62" t="inlineStr">
        <is>
          <t>geometry-derived corner count</t>
        </is>
      </c>
      <c r="L91" s="62" t="inlineStr">
        <is>
          <t>MEDIUM</t>
        </is>
      </c>
    </row>
    <row r="92">
      <c r="A92" s="62" t="inlineStr">
        <is>
          <t>K09</t>
        </is>
      </c>
      <c r="B92" s="62" t="inlineStr">
        <is>
          <t>50113</t>
        </is>
      </c>
      <c r="C92" s="62" t="inlineStr">
        <is>
          <t>50113 - External Cladding</t>
        </is>
      </c>
      <c r="D92" s="62" t="inlineStr">
        <is>
          <t>External Corner Trim / Angle Bead</t>
        </is>
      </c>
      <c r="E92" s="62" t="inlineStr">
        <is>
          <t>External Cladding | Corner Trim / Angle Bead</t>
        </is>
      </c>
      <c r="F92" s="62" t="inlineStr">
        <is>
          <t>lm</t>
        </is>
      </c>
      <c r="G92" s="62" t="n">
        <v>9.6</v>
      </c>
      <c r="H92" s="62" t="inlineStr">
        <is>
          <t>calculated</t>
        </is>
      </c>
      <c r="I92" s="62" t="inlineStr">
        <is>
          <t>ext_corners(4) × wall_h(2.4m)</t>
        </is>
      </c>
      <c r="J92" s="62" t="inlineStr">
        <is>
          <t>derived: 4 corners × 2.4 m</t>
        </is>
      </c>
      <c r="K92" s="62" t="inlineStr">
        <is>
          <t>corners × wall_height</t>
        </is>
      </c>
      <c r="L92" s="62" t="inlineStr">
        <is>
          <t>MEDIUM</t>
        </is>
      </c>
    </row>
    <row r="93">
      <c r="A93" s="62" t="inlineStr">
        <is>
          <t>K10</t>
        </is>
      </c>
      <c r="B93" s="62" t="inlineStr">
        <is>
          <t>50113</t>
        </is>
      </c>
      <c r="C93" s="62" t="inlineStr">
        <is>
          <t>50113 - External Cladding</t>
        </is>
      </c>
      <c r="D93" s="62" t="inlineStr">
        <is>
          <t>FC Weatherboard Stud Fixing Clip</t>
        </is>
      </c>
      <c r="E93" s="62" t="inlineStr">
        <is>
          <t>External Cladding | FC Weatherboard Clip</t>
        </is>
      </c>
      <c r="F93" s="62" t="inlineStr">
        <is>
          <t>nr</t>
        </is>
      </c>
      <c r="G93" s="62" t="n">
        <v>768</v>
      </c>
      <c r="H93" s="62" t="inlineStr">
        <is>
          <t>calculated</t>
        </is>
      </c>
      <c r="I93" s="62" t="inlineStr">
        <is>
          <t>studs(64) × rows_of_boards(12) [stud_spacing=600mm]</t>
        </is>
      </c>
      <c r="J93" s="62" t="inlineStr">
        <is>
          <t>dxf_geometry: ext_lm=38.40 m, stud_spacing=600mm</t>
        </is>
      </c>
      <c r="K93" s="62" t="inlineStr">
        <is>
          <t>ceil(ext_lm × studs_per_m) × rows_of_boards</t>
        </is>
      </c>
      <c r="L93" s="62" t="inlineStr">
        <is>
          <t>MEDIUM</t>
        </is>
      </c>
    </row>
    <row r="94">
      <c r="A94" s="62" t="inlineStr">
        <is>
          <t>K11</t>
        </is>
      </c>
      <c r="B94" s="62" t="inlineStr">
        <is>
          <t>50113</t>
        </is>
      </c>
      <c r="C94" s="62" t="inlineStr">
        <is>
          <t>50113 - External Cladding</t>
        </is>
      </c>
      <c r="D94" s="62" t="inlineStr">
        <is>
          <t>Stainless Steel Screw — Cladding Fix</t>
        </is>
      </c>
      <c r="E94" s="62" t="inlineStr">
        <is>
          <t>Fixing | Stainless Steel Screw (Cladding)</t>
        </is>
      </c>
      <c r="F94" s="62" t="inlineStr">
        <is>
          <t>nr</t>
        </is>
      </c>
      <c r="G94" s="62" t="n">
        <v>1536</v>
      </c>
      <c r="H94" s="62" t="inlineStr">
        <is>
          <t>calculated</t>
        </is>
      </c>
      <c r="I94" s="62" t="inlineStr">
        <is>
          <t>stud_clips(768) × 2 screws per clip</t>
        </is>
      </c>
      <c r="J94" s="62" t="inlineStr">
        <is>
          <t>derived from clip count: 768</t>
        </is>
      </c>
      <c r="K94" s="62" t="inlineStr">
        <is>
          <t>clip_count × 2</t>
        </is>
      </c>
      <c r="L94" s="62" t="inlineStr">
        <is>
          <t>LOW</t>
        </is>
      </c>
    </row>
    <row r="95">
      <c r="A95" s="62" t="inlineStr">
        <is>
          <t>K12</t>
        </is>
      </c>
      <c r="B95" s="62" t="inlineStr">
        <is>
          <t>50113</t>
        </is>
      </c>
      <c r="C95" s="62" t="inlineStr">
        <is>
          <t>50113 - External Cladding</t>
        </is>
      </c>
      <c r="D95" s="62" t="inlineStr">
        <is>
          <t>Building Wrap / Sarking — External Wall</t>
        </is>
      </c>
      <c r="E95" s="62" t="inlineStr">
        <is>
          <t>Accessories | Building Wrap / Sarking</t>
        </is>
      </c>
      <c r="F95" s="62" t="inlineStr">
        <is>
          <t>m2</t>
        </is>
      </c>
      <c r="G95" s="62" t="n">
        <v>96.77</v>
      </c>
      <c r="H95" s="62" t="inlineStr">
        <is>
          <t>calculated</t>
        </is>
      </c>
      <c r="I95" s="62" t="inlineStr">
        <is>
          <t>gross_wall_area(92.16) × 1.05 overlap</t>
        </is>
      </c>
      <c r="J95" s="62" t="inlineStr">
        <is>
          <t>dxf_geometry: ext_lm=38.40 m × wall_h=2.4 m</t>
        </is>
      </c>
      <c r="K95" s="62" t="inlineStr">
        <is>
          <t>ext_lm × wall_h × 1.05</t>
        </is>
      </c>
      <c r="L95" s="62" t="inlineStr">
        <is>
          <t>MEDIUM</t>
        </is>
      </c>
    </row>
    <row r="96">
      <c r="A96" s="62" t="inlineStr">
        <is>
          <t>K13</t>
        </is>
      </c>
      <c r="B96" s="62" t="inlineStr">
        <is>
          <t>50113</t>
        </is>
      </c>
      <c r="C96" s="62" t="inlineStr">
        <is>
          <t>50113 - External Cladding</t>
        </is>
      </c>
      <c r="D96" s="62" t="inlineStr">
        <is>
          <t>Building Wrap Lap Tape (50m × 65mm roll)</t>
        </is>
      </c>
      <c r="E96" s="62" t="inlineStr">
        <is>
          <t>Accessories | Building Wrap / Sarking</t>
        </is>
      </c>
      <c r="F96" s="62" t="inlineStr">
        <is>
          <t>rolls</t>
        </is>
      </c>
      <c r="G96" s="62" t="n">
        <v>1</v>
      </c>
      <c r="H96" s="62" t="inlineStr">
        <is>
          <t>calculated</t>
        </is>
      </c>
      <c r="I96" s="62" t="inlineStr">
        <is>
          <t>ceil(sarking_area(96.77) / 100 m² per roll)</t>
        </is>
      </c>
      <c r="J96" s="62" t="inlineStr">
        <is>
          <t>derived from sarking_area=96.77 m²</t>
        </is>
      </c>
      <c r="K96" s="62" t="inlineStr">
        <is>
          <t>ceil(sarking_area / 100)</t>
        </is>
      </c>
      <c r="L96" s="62" t="inlineStr">
        <is>
          <t>LOW</t>
        </is>
      </c>
    </row>
    <row r="97">
      <c r="A97" s="62" t="inlineStr">
        <is>
          <t>K14</t>
        </is>
      </c>
      <c r="B97" s="62" t="inlineStr">
        <is>
          <t>50113</t>
        </is>
      </c>
      <c r="C97" s="62" t="inlineStr">
        <is>
          <t>50113 - External Cladding</t>
        </is>
      </c>
      <c r="D97" s="62" t="inlineStr">
        <is>
          <t>Expansion Joint Sealant — H-Joiner (300mL tube)</t>
        </is>
      </c>
      <c r="E97" s="62" t="inlineStr">
        <is>
          <t>External Cladding | H-Joiner Strip</t>
        </is>
      </c>
      <c r="F97" s="62" t="inlineStr">
        <is>
          <t>tubes</t>
        </is>
      </c>
      <c r="G97" s="62" t="n">
        <v>8</v>
      </c>
      <c r="H97" s="62" t="inlineStr">
        <is>
          <t>calculated</t>
        </is>
      </c>
      <c r="I97" s="62" t="inlineStr">
        <is>
          <t>ceil(h_joiner_count(72) / 10 joiners per tube)</t>
        </is>
      </c>
      <c r="J97" s="62" t="inlineStr">
        <is>
          <t>derived from h_joiner_count=72</t>
        </is>
      </c>
      <c r="K97" s="62" t="inlineStr">
        <is>
          <t>ceil(h_joiners / 10)</t>
        </is>
      </c>
      <c r="L97" s="62" t="inlineStr">
        <is>
          <t>LOW</t>
        </is>
      </c>
    </row>
    <row r="98">
      <c r="A98" s="62" t="inlineStr">
        <is>
          <t>K15</t>
        </is>
      </c>
      <c r="B98" s="62" t="inlineStr">
        <is>
          <t>50113</t>
        </is>
      </c>
      <c r="C98" s="62" t="inlineStr">
        <is>
          <t>50113 - External Cladding</t>
        </is>
      </c>
      <c r="D98" s="62" t="inlineStr">
        <is>
          <t>Window / Door Reveal Trim (FC / timber)</t>
        </is>
      </c>
      <c r="E98" s="62" t="inlineStr">
        <is>
          <t>Window / Door Reveal Trim (FC / timber)</t>
        </is>
      </c>
      <c r="F98" s="62" t="inlineStr">
        <is>
          <t>lm</t>
        </is>
      </c>
      <c r="G98" s="62" t="n">
        <v>40.33</v>
      </c>
      <c r="H98" s="62" t="inlineStr">
        <is>
          <t>calculated</t>
        </is>
      </c>
      <c r="I98" s="62" t="inlineStr">
        <is>
          <t>sum((2×h + w) × qty) for each external-cladding opening (entrance doors ≥0.85m + windows)</t>
        </is>
      </c>
      <c r="J98" s="62" t="inlineStr">
        <is>
          <t>dxf_geometry: 4 openings in external cladding face</t>
        </is>
      </c>
      <c r="K98" s="62" t="inlineStr">
        <is>
          <t>sum((2h+w)×qty per opening)</t>
        </is>
      </c>
      <c r="L98" s="62" t="inlineStr">
        <is>
          <t>MEDIUM</t>
        </is>
      </c>
    </row>
    <row r="99">
      <c r="A99" s="62" t="inlineStr">
        <is>
          <t>K16</t>
        </is>
      </c>
      <c r="B99" s="62" t="inlineStr">
        <is>
          <t>50113</t>
        </is>
      </c>
      <c r="C99" s="62" t="inlineStr">
        <is>
          <t>50113 - External Cladding</t>
        </is>
      </c>
      <c r="D99" s="62" t="inlineStr">
        <is>
          <t>Verandah Decking / Slab</t>
        </is>
      </c>
      <c r="E99" s="62" t="inlineStr">
        <is>
          <t>External Works | Verandah Decking</t>
        </is>
      </c>
      <c r="F99" s="62" t="inlineStr">
        <is>
          <t>m2</t>
        </is>
      </c>
      <c r="G99" s="62" t="n">
        <v>21.6</v>
      </c>
      <c r="H99" s="62" t="inlineStr">
        <is>
          <t>measured</t>
        </is>
      </c>
      <c r="I99" s="62" t="inlineStr">
        <is>
          <t>DXF VERANDAH LWPOLYLINE area</t>
        </is>
      </c>
      <c r="J99" s="62" t="inlineStr">
        <is>
          <t>dxf_geometry: verandah_area=21.60 m²</t>
        </is>
      </c>
      <c r="K99" s="62">
        <f> verandah_area_m2</f>
        <v/>
      </c>
      <c r="L99" s="62" t="inlineStr">
        <is>
          <t>HIGH</t>
        </is>
      </c>
    </row>
    <row r="100">
      <c r="A100" s="62" t="inlineStr">
        <is>
          <t>K17</t>
        </is>
      </c>
      <c r="B100" s="62" t="inlineStr">
        <is>
          <t>50113</t>
        </is>
      </c>
      <c r="C100" s="62" t="inlineStr">
        <is>
          <t>50113 - External Cladding</t>
        </is>
      </c>
      <c r="D100" s="62" t="inlineStr">
        <is>
          <t>Verandah Decking — WPC Supply Area (5% cut waste)</t>
        </is>
      </c>
      <c r="E100" s="62" t="inlineStr">
        <is>
          <t>External Works | Verandah Decking (WPC Supply)</t>
        </is>
      </c>
      <c r="F100" s="62" t="inlineStr">
        <is>
          <t>m2</t>
        </is>
      </c>
      <c r="G100" s="62" t="n">
        <v>22.68</v>
      </c>
      <c r="H100" s="62" t="inlineStr">
        <is>
          <t>calculated</t>
        </is>
      </c>
      <c r="I100" s="62" t="inlineStr">
        <is>
          <t>verandah_area(21.60) × 1.05 waste = 22.68 m²</t>
        </is>
      </c>
      <c r="J100" s="62" t="inlineStr">
        <is>
          <t>dxf_geometry: verandah_area=21.60 m²</t>
        </is>
      </c>
      <c r="K100" s="62" t="inlineStr">
        <is>
          <t>21.60 × 1.05</t>
        </is>
      </c>
      <c r="L100" s="62" t="inlineStr">
        <is>
          <t>HIGH</t>
        </is>
      </c>
    </row>
    <row r="101">
      <c r="A101" s="62" t="inlineStr">
        <is>
          <t>K18</t>
        </is>
      </c>
      <c r="B101" s="62" t="inlineStr">
        <is>
          <t>50113</t>
        </is>
      </c>
      <c r="C101" s="62" t="inlineStr">
        <is>
          <t>50113 - External Cladding</t>
        </is>
      </c>
      <c r="D101" s="62" t="inlineStr">
        <is>
          <t>Verandah Decking — WPC Board Count (140mm × 3.6m)</t>
        </is>
      </c>
      <c r="E101" s="62" t="inlineStr">
        <is>
          <t>External Works | Verandah Decking (Board Count)</t>
        </is>
      </c>
      <c r="F101" s="62" t="inlineStr">
        <is>
          <t>nr</t>
        </is>
      </c>
      <c r="G101" s="62" t="n">
        <v>45</v>
      </c>
      <c r="H101" s="62" t="inlineStr">
        <is>
          <t>calculated</t>
        </is>
      </c>
      <c r="I101" s="62" t="inlineStr">
        <is>
          <t>ceil(supply_area(22.68m²) / (board_w(140mm) × board_l(3.6m))) = ceil(22.68 / 0.504) = 45 nr</t>
        </is>
      </c>
      <c r="J101" s="62" t="inlineStr">
        <is>
          <t>dxf_geometry: verandah_area=21.60 m²</t>
        </is>
      </c>
      <c r="K101" s="62" t="inlineStr">
        <is>
          <t>ceil(22.68 / (0.14 × 3.6))</t>
        </is>
      </c>
      <c r="L101" s="62" t="inlineStr">
        <is>
          <t>LOW</t>
        </is>
      </c>
    </row>
    <row r="102">
      <c r="A102" s="62" t="inlineStr">
        <is>
          <t>K19</t>
        </is>
      </c>
      <c r="B102" s="62" t="inlineStr">
        <is>
          <t>50113</t>
        </is>
      </c>
      <c r="C102" s="62" t="inlineStr">
        <is>
          <t>50113 - External Cladding</t>
        </is>
      </c>
      <c r="D102" s="62" t="inlineStr">
        <is>
          <t>Site Preparation (Provisional)</t>
        </is>
      </c>
      <c r="E102" s="62" t="inlineStr">
        <is>
          <t>Substructure | Site Preparation (Provisional)</t>
        </is>
      </c>
      <c r="F102" s="62" t="inlineStr">
        <is>
          <t>item</t>
        </is>
      </c>
      <c r="G102" s="62" t="n">
        <v>0</v>
      </c>
      <c r="H102" s="62" t="inlineStr">
        <is>
          <t>placeholder</t>
        </is>
      </c>
      <c r="I102" s="62" t="inlineStr">
        <is>
          <t>provisional allowance — no site survey</t>
        </is>
      </c>
      <c r="J102" s="62" t="inlineStr">
        <is>
          <t>no site survey in sources</t>
        </is>
      </c>
      <c r="K102" s="62" t="inlineStr">
        <is>
          <t>manual review required</t>
        </is>
      </c>
      <c r="L102" s="62" t="inlineStr">
        <is>
          <t>LOW</t>
        </is>
      </c>
    </row>
    <row r="103">
      <c r="A103" s="62" t="inlineStr">
        <is>
          <t>D01</t>
        </is>
      </c>
      <c r="B103" s="62" t="inlineStr">
        <is>
          <t>50114</t>
        </is>
      </c>
      <c r="C103" s="62" t="inlineStr">
        <is>
          <t>50114 - Openings</t>
        </is>
      </c>
      <c r="D103" s="62" t="inlineStr">
        <is>
          <t>Door — DOOR_90 (920mm)</t>
        </is>
      </c>
      <c r="E103" s="62" t="inlineStr">
        <is>
          <t>Door | 920mm Wide (DOOR_90)</t>
        </is>
      </c>
      <c r="F103" s="62" t="inlineStr">
        <is>
          <t>nr</t>
        </is>
      </c>
      <c r="G103" s="62" t="n">
        <v>1</v>
      </c>
      <c r="H103" s="62" t="inlineStr">
        <is>
          <t>measured</t>
        </is>
      </c>
      <c r="I103" s="62" t="inlineStr">
        <is>
          <t>count from source</t>
        </is>
      </c>
      <c r="J103" s="62" t="inlineStr">
        <is>
          <t>dxf_blocks: mark=DOOR_90 count=1</t>
        </is>
      </c>
      <c r="K103" s="62" t="inlineStr">
        <is>
          <t>direct count</t>
        </is>
      </c>
      <c r="L103" s="62" t="inlineStr">
        <is>
          <t>HIGH</t>
        </is>
      </c>
    </row>
    <row r="104">
      <c r="A104" s="62" t="inlineStr">
        <is>
          <t>D02</t>
        </is>
      </c>
      <c r="B104" s="62" t="inlineStr">
        <is>
          <t>50114</t>
        </is>
      </c>
      <c r="C104" s="62" t="inlineStr">
        <is>
          <t>50114 - Openings</t>
        </is>
      </c>
      <c r="D104" s="62" t="inlineStr">
        <is>
          <t>Door — DOOR_82 (820mm)</t>
        </is>
      </c>
      <c r="E104" s="62" t="inlineStr">
        <is>
          <t>Door | 820mm Wide (DOOR_82)</t>
        </is>
      </c>
      <c r="F104" s="62" t="inlineStr">
        <is>
          <t>nr</t>
        </is>
      </c>
      <c r="G104" s="62" t="n">
        <v>4</v>
      </c>
      <c r="H104" s="62" t="inlineStr">
        <is>
          <t>measured</t>
        </is>
      </c>
      <c r="I104" s="62" t="inlineStr">
        <is>
          <t>count from source</t>
        </is>
      </c>
      <c r="J104" s="62" t="inlineStr">
        <is>
          <t>dxf_blocks: mark=DOOR_82 count=4</t>
        </is>
      </c>
      <c r="K104" s="62" t="inlineStr">
        <is>
          <t>direct count</t>
        </is>
      </c>
      <c r="L104" s="62" t="inlineStr">
        <is>
          <t>HIGH</t>
        </is>
      </c>
    </row>
    <row r="105">
      <c r="A105" s="62" t="inlineStr">
        <is>
          <t>D03</t>
        </is>
      </c>
      <c r="B105" s="62" t="inlineStr">
        <is>
          <t>50114</t>
        </is>
      </c>
      <c r="C105" s="62" t="inlineStr">
        <is>
          <t>50114 - Openings</t>
        </is>
      </c>
      <c r="D105" s="62" t="inlineStr">
        <is>
          <t>Door — DOOR_72 (720mm)</t>
        </is>
      </c>
      <c r="E105" s="62" t="inlineStr">
        <is>
          <t>Door | 720mm Wide (DOOR_72)</t>
        </is>
      </c>
      <c r="F105" s="62" t="inlineStr">
        <is>
          <t>nr</t>
        </is>
      </c>
      <c r="G105" s="62" t="n">
        <v>1</v>
      </c>
      <c r="H105" s="62" t="inlineStr">
        <is>
          <t>measured</t>
        </is>
      </c>
      <c r="I105" s="62" t="inlineStr">
        <is>
          <t>count from source</t>
        </is>
      </c>
      <c r="J105" s="62" t="inlineStr">
        <is>
          <t>dxf_blocks: mark=DOOR_72 count=1</t>
        </is>
      </c>
      <c r="K105" s="62" t="inlineStr">
        <is>
          <t>direct count</t>
        </is>
      </c>
      <c r="L105" s="62" t="inlineStr">
        <is>
          <t>HIGH</t>
        </is>
      </c>
    </row>
    <row r="106">
      <c r="A106" s="62" t="inlineStr">
        <is>
          <t>D04</t>
        </is>
      </c>
      <c r="B106" s="62" t="inlineStr">
        <is>
          <t>50114</t>
        </is>
      </c>
      <c r="C106" s="62" t="inlineStr">
        <is>
          <t>50114 - Openings</t>
        </is>
      </c>
      <c r="D106" s="62" t="inlineStr">
        <is>
          <t>Door — Total Count (all marks)</t>
        </is>
      </c>
      <c r="E106" s="62" t="inlineStr">
        <is>
          <t>Door — Total Count (all marks)</t>
        </is>
      </c>
      <c r="F106" s="62" t="inlineStr">
        <is>
          <t>nr</t>
        </is>
      </c>
      <c r="G106" s="62" t="n">
        <v>6</v>
      </c>
      <c r="H106" s="62" t="inlineStr">
        <is>
          <t>measured</t>
        </is>
      </c>
      <c r="I106" s="62" t="inlineStr">
        <is>
          <t>sum of all door mark quantities = 6 nr</t>
        </is>
      </c>
      <c r="J106" s="62" t="inlineStr">
        <is>
          <t>dxf_blocks: DOOR_90×1, DOOR_82×4, DOOR_72×1</t>
        </is>
      </c>
      <c r="K106" s="62" t="inlineStr">
        <is>
          <t>sum(qty per mark)</t>
        </is>
      </c>
      <c r="L106" s="62" t="inlineStr">
        <is>
          <t>HIGH</t>
        </is>
      </c>
    </row>
    <row r="107">
      <c r="A107" s="62" t="inlineStr">
        <is>
          <t>D05</t>
        </is>
      </c>
      <c r="B107" s="62" t="inlineStr">
        <is>
          <t>50114</t>
        </is>
      </c>
      <c r="C107" s="62" t="inlineStr">
        <is>
          <t>50114 - Openings</t>
        </is>
      </c>
      <c r="D107" s="62" t="inlineStr">
        <is>
          <t>Door Head Flashing</t>
        </is>
      </c>
      <c r="E107" s="62" t="inlineStr">
        <is>
          <t>Flashing | Door Head, Galvanised</t>
        </is>
      </c>
      <c r="F107" s="62" t="inlineStr">
        <is>
          <t>lm</t>
        </is>
      </c>
      <c r="G107" s="62" t="n">
        <v>5.52</v>
      </c>
      <c r="H107" s="62" t="inlineStr">
        <is>
          <t>calculated</t>
        </is>
      </c>
      <c r="I107" s="62" t="inlineStr">
        <is>
          <t>sum((door_width + 50mm overrun × 2) × count)</t>
        </is>
      </c>
      <c r="J107" s="62" t="inlineStr">
        <is>
          <t>dxf_blocks: door widths DOOR_90=0.92m×1, DOOR_82=0.82m×4, DOOR_72=0.72m×1</t>
        </is>
      </c>
      <c r="K107" s="62" t="inlineStr">
        <is>
          <t>sum((width + 0.100) × qty)</t>
        </is>
      </c>
      <c r="L107" s="62" t="inlineStr">
        <is>
          <t>MEDIUM</t>
        </is>
      </c>
    </row>
    <row r="108">
      <c r="A108" s="62" t="inlineStr">
        <is>
          <t>D06</t>
        </is>
      </c>
      <c r="B108" s="62" t="inlineStr">
        <is>
          <t>50114</t>
        </is>
      </c>
      <c r="C108" s="62" t="inlineStr">
        <is>
          <t>50114 - Openings</t>
        </is>
      </c>
      <c r="D108" s="62" t="inlineStr">
        <is>
          <t>Door Sill Flashing</t>
        </is>
      </c>
      <c r="E108" s="62" t="inlineStr">
        <is>
          <t>Flashing | Door Sill, Galvanised</t>
        </is>
      </c>
      <c r="F108" s="62" t="inlineStr">
        <is>
          <t>lm</t>
        </is>
      </c>
      <c r="G108" s="62" t="n">
        <v>1.02</v>
      </c>
      <c r="H108" s="62" t="inlineStr">
        <is>
          <t>calculated</t>
        </is>
      </c>
      <c r="I108" s="62" t="inlineStr">
        <is>
          <t>sum((door_width + 50mm overrun × 2) × count) — external doors only (width ≥ 850mm)</t>
        </is>
      </c>
      <c r="J108" s="62" t="inlineStr">
        <is>
          <t>dxf_blocks: DOOR_90=0.92m×1</t>
        </is>
      </c>
      <c r="K108" s="62" t="inlineStr">
        <is>
          <t>sum((width + 0.100) × qty) for ext doors only</t>
        </is>
      </c>
      <c r="L108" s="62" t="inlineStr">
        <is>
          <t>MEDIUM</t>
        </is>
      </c>
    </row>
    <row r="109">
      <c r="A109" s="62" t="inlineStr">
        <is>
          <t>D07</t>
        </is>
      </c>
      <c r="B109" s="62" t="inlineStr">
        <is>
          <t>50114</t>
        </is>
      </c>
      <c r="C109" s="62" t="inlineStr">
        <is>
          <t>50114 - Openings</t>
        </is>
      </c>
      <c r="D109" s="62" t="inlineStr">
        <is>
          <t>Door Leaf</t>
        </is>
      </c>
      <c r="E109" s="62" t="inlineStr">
        <is>
          <t>Door — Leaf Supply</t>
        </is>
      </c>
      <c r="F109" s="62" t="inlineStr">
        <is>
          <t>nr</t>
        </is>
      </c>
      <c r="G109" s="62" t="n">
        <v>1</v>
      </c>
      <c r="H109" s="62" t="inlineStr">
        <is>
          <t>calculated</t>
        </is>
      </c>
      <c r="I109" s="62" t="inlineStr">
        <is>
          <t>assembly_rule:door_single_hinged</t>
        </is>
      </c>
      <c r="J109" s="62" t="inlineStr">
        <is>
          <t>dxf_blocks: DOOR_90 count=1</t>
        </is>
      </c>
      <c r="K109" s="62" t="inlineStr">
        <is>
          <t>door_single_hinged → x</t>
        </is>
      </c>
      <c r="L109" s="62" t="inlineStr">
        <is>
          <t>HIGH</t>
        </is>
      </c>
    </row>
    <row r="110">
      <c r="A110" s="62" t="inlineStr">
        <is>
          <t>D08</t>
        </is>
      </c>
      <c r="B110" s="62" t="inlineStr">
        <is>
          <t>50114</t>
        </is>
      </c>
      <c r="C110" s="62" t="inlineStr">
        <is>
          <t>50114 - Openings</t>
        </is>
      </c>
      <c r="D110" s="62" t="inlineStr">
        <is>
          <t>Door Frame Set</t>
        </is>
      </c>
      <c r="E110" s="62" t="inlineStr">
        <is>
          <t>Door — Frame Set</t>
        </is>
      </c>
      <c r="F110" s="62" t="inlineStr">
        <is>
          <t>nr</t>
        </is>
      </c>
      <c r="G110" s="62" t="n">
        <v>1</v>
      </c>
      <c r="H110" s="62" t="inlineStr">
        <is>
          <t>calculated</t>
        </is>
      </c>
      <c r="I110" s="62" t="inlineStr">
        <is>
          <t>assembly_rule:door_single_hinged</t>
        </is>
      </c>
      <c r="J110" s="62" t="inlineStr">
        <is>
          <t>dxf_blocks: DOOR_90 count=1</t>
        </is>
      </c>
      <c r="K110" s="62" t="inlineStr">
        <is>
          <t>door_single_hinged → x</t>
        </is>
      </c>
      <c r="L110" s="62" t="inlineStr">
        <is>
          <t>HIGH</t>
        </is>
      </c>
    </row>
    <row r="111">
      <c r="A111" s="62" t="inlineStr">
        <is>
          <t>D09</t>
        </is>
      </c>
      <c r="B111" s="62" t="inlineStr">
        <is>
          <t>50114</t>
        </is>
      </c>
      <c r="C111" s="62" t="inlineStr">
        <is>
          <t>50114 - Openings</t>
        </is>
      </c>
      <c r="D111" s="62" t="inlineStr">
        <is>
          <t>Door Hinge (pair)</t>
        </is>
      </c>
      <c r="E111" s="62" t="inlineStr">
        <is>
          <t>Door | Hinge (pair)</t>
        </is>
      </c>
      <c r="F111" s="62" t="inlineStr">
        <is>
          <t>nr</t>
        </is>
      </c>
      <c r="G111" s="62" t="n">
        <v>3</v>
      </c>
      <c r="H111" s="62" t="inlineStr">
        <is>
          <t>calculated</t>
        </is>
      </c>
      <c r="I111" s="62" t="inlineStr">
        <is>
          <t>assembly_rule:door_single_hinged</t>
        </is>
      </c>
      <c r="J111" s="62" t="inlineStr">
        <is>
          <t>dxf_blocks: DOOR_90 count=1</t>
        </is>
      </c>
      <c r="K111" s="62" t="inlineStr">
        <is>
          <t>door_single_hinged → x * 3  [note: 3 pairs per door (standard)]</t>
        </is>
      </c>
      <c r="L111" s="62" t="inlineStr">
        <is>
          <t>MEDIUM</t>
        </is>
      </c>
    </row>
    <row r="112">
      <c r="A112" s="62" t="inlineStr">
        <is>
          <t>D10</t>
        </is>
      </c>
      <c r="B112" s="62" t="inlineStr">
        <is>
          <t>50114</t>
        </is>
      </c>
      <c r="C112" s="62" t="inlineStr">
        <is>
          <t>50114 - Openings</t>
        </is>
      </c>
      <c r="D112" s="62" t="inlineStr">
        <is>
          <t>Door Lockset</t>
        </is>
      </c>
      <c r="E112" s="62" t="inlineStr">
        <is>
          <t>Door | Lockset</t>
        </is>
      </c>
      <c r="F112" s="62" t="inlineStr">
        <is>
          <t>nr</t>
        </is>
      </c>
      <c r="G112" s="62" t="n">
        <v>1</v>
      </c>
      <c r="H112" s="62" t="inlineStr">
        <is>
          <t>calculated</t>
        </is>
      </c>
      <c r="I112" s="62" t="inlineStr">
        <is>
          <t>assembly_rule:door_single_hinged</t>
        </is>
      </c>
      <c r="J112" s="62" t="inlineStr">
        <is>
          <t>dxf_blocks: DOOR_90 count=1</t>
        </is>
      </c>
      <c r="K112" s="62" t="inlineStr">
        <is>
          <t>door_single_hinged → x</t>
        </is>
      </c>
      <c r="L112" s="62" t="inlineStr">
        <is>
          <t>HIGH</t>
        </is>
      </c>
    </row>
    <row r="113">
      <c r="A113" s="62" t="inlineStr">
        <is>
          <t>D11</t>
        </is>
      </c>
      <c r="B113" s="62" t="inlineStr">
        <is>
          <t>50114</t>
        </is>
      </c>
      <c r="C113" s="62" t="inlineStr">
        <is>
          <t>50114 - Openings</t>
        </is>
      </c>
      <c r="D113" s="62" t="inlineStr">
        <is>
          <t>Door Stop</t>
        </is>
      </c>
      <c r="E113" s="62" t="inlineStr">
        <is>
          <t>Door | Stop</t>
        </is>
      </c>
      <c r="F113" s="62" t="inlineStr">
        <is>
          <t>nr</t>
        </is>
      </c>
      <c r="G113" s="62" t="n">
        <v>1</v>
      </c>
      <c r="H113" s="62" t="inlineStr">
        <is>
          <t>calculated</t>
        </is>
      </c>
      <c r="I113" s="62" t="inlineStr">
        <is>
          <t>assembly_rule:door_single_hinged</t>
        </is>
      </c>
      <c r="J113" s="62" t="inlineStr">
        <is>
          <t>dxf_blocks: DOOR_90 count=1</t>
        </is>
      </c>
      <c r="K113" s="62" t="inlineStr">
        <is>
          <t>door_single_hinged → x</t>
        </is>
      </c>
      <c r="L113" s="62" t="inlineStr">
        <is>
          <t>HIGH</t>
        </is>
      </c>
    </row>
    <row r="114">
      <c r="A114" s="62" t="inlineStr">
        <is>
          <t>D12</t>
        </is>
      </c>
      <c r="B114" s="62" t="inlineStr">
        <is>
          <t>50114</t>
        </is>
      </c>
      <c r="C114" s="62" t="inlineStr">
        <is>
          <t>50114 - Openings</t>
        </is>
      </c>
      <c r="D114" s="62" t="inlineStr">
        <is>
          <t>Door Leaf</t>
        </is>
      </c>
      <c r="E114" s="62" t="inlineStr">
        <is>
          <t>Door — Leaf Supply</t>
        </is>
      </c>
      <c r="F114" s="62" t="inlineStr">
        <is>
          <t>nr</t>
        </is>
      </c>
      <c r="G114" s="62" t="n">
        <v>4</v>
      </c>
      <c r="H114" s="62" t="inlineStr">
        <is>
          <t>calculated</t>
        </is>
      </c>
      <c r="I114" s="62" t="inlineStr">
        <is>
          <t>assembly_rule:door_single_hinged</t>
        </is>
      </c>
      <c r="J114" s="62" t="inlineStr">
        <is>
          <t>dxf_blocks: DOOR_82 count=4</t>
        </is>
      </c>
      <c r="K114" s="62" t="inlineStr">
        <is>
          <t>door_single_hinged → x</t>
        </is>
      </c>
      <c r="L114" s="62" t="inlineStr">
        <is>
          <t>HIGH</t>
        </is>
      </c>
    </row>
    <row r="115">
      <c r="A115" s="62" t="inlineStr">
        <is>
          <t>D13</t>
        </is>
      </c>
      <c r="B115" s="62" t="inlineStr">
        <is>
          <t>50114</t>
        </is>
      </c>
      <c r="C115" s="62" t="inlineStr">
        <is>
          <t>50114 - Openings</t>
        </is>
      </c>
      <c r="D115" s="62" t="inlineStr">
        <is>
          <t>Door Frame Set</t>
        </is>
      </c>
      <c r="E115" s="62" t="inlineStr">
        <is>
          <t>Door — Frame Set</t>
        </is>
      </c>
      <c r="F115" s="62" t="inlineStr">
        <is>
          <t>nr</t>
        </is>
      </c>
      <c r="G115" s="62" t="n">
        <v>4</v>
      </c>
      <c r="H115" s="62" t="inlineStr">
        <is>
          <t>calculated</t>
        </is>
      </c>
      <c r="I115" s="62" t="inlineStr">
        <is>
          <t>assembly_rule:door_single_hinged</t>
        </is>
      </c>
      <c r="J115" s="62" t="inlineStr">
        <is>
          <t>dxf_blocks: DOOR_82 count=4</t>
        </is>
      </c>
      <c r="K115" s="62" t="inlineStr">
        <is>
          <t>door_single_hinged → x</t>
        </is>
      </c>
      <c r="L115" s="62" t="inlineStr">
        <is>
          <t>HIGH</t>
        </is>
      </c>
    </row>
    <row r="116">
      <c r="A116" s="62" t="inlineStr">
        <is>
          <t>D14</t>
        </is>
      </c>
      <c r="B116" s="62" t="inlineStr">
        <is>
          <t>50114</t>
        </is>
      </c>
      <c r="C116" s="62" t="inlineStr">
        <is>
          <t>50114 - Openings</t>
        </is>
      </c>
      <c r="D116" s="62" t="inlineStr">
        <is>
          <t>Door Hinge (pair)</t>
        </is>
      </c>
      <c r="E116" s="62" t="inlineStr">
        <is>
          <t>Door | Hinge (pair)</t>
        </is>
      </c>
      <c r="F116" s="62" t="inlineStr">
        <is>
          <t>nr</t>
        </is>
      </c>
      <c r="G116" s="62" t="n">
        <v>12</v>
      </c>
      <c r="H116" s="62" t="inlineStr">
        <is>
          <t>calculated</t>
        </is>
      </c>
      <c r="I116" s="62" t="inlineStr">
        <is>
          <t>assembly_rule:door_single_hinged</t>
        </is>
      </c>
      <c r="J116" s="62" t="inlineStr">
        <is>
          <t>dxf_blocks: DOOR_82 count=4</t>
        </is>
      </c>
      <c r="K116" s="62" t="inlineStr">
        <is>
          <t>door_single_hinged → x * 3  [note: 3 pairs per door (standard)]</t>
        </is>
      </c>
      <c r="L116" s="62" t="inlineStr">
        <is>
          <t>MEDIUM</t>
        </is>
      </c>
    </row>
    <row r="117">
      <c r="A117" s="62" t="inlineStr">
        <is>
          <t>D15</t>
        </is>
      </c>
      <c r="B117" s="62" t="inlineStr">
        <is>
          <t>50114</t>
        </is>
      </c>
      <c r="C117" s="62" t="inlineStr">
        <is>
          <t>50114 - Openings</t>
        </is>
      </c>
      <c r="D117" s="62" t="inlineStr">
        <is>
          <t>Door Lockset</t>
        </is>
      </c>
      <c r="E117" s="62" t="inlineStr">
        <is>
          <t>Door | Lockset</t>
        </is>
      </c>
      <c r="F117" s="62" t="inlineStr">
        <is>
          <t>nr</t>
        </is>
      </c>
      <c r="G117" s="62" t="n">
        <v>4</v>
      </c>
      <c r="H117" s="62" t="inlineStr">
        <is>
          <t>calculated</t>
        </is>
      </c>
      <c r="I117" s="62" t="inlineStr">
        <is>
          <t>assembly_rule:door_single_hinged</t>
        </is>
      </c>
      <c r="J117" s="62" t="inlineStr">
        <is>
          <t>dxf_blocks: DOOR_82 count=4</t>
        </is>
      </c>
      <c r="K117" s="62" t="inlineStr">
        <is>
          <t>door_single_hinged → x</t>
        </is>
      </c>
      <c r="L117" s="62" t="inlineStr">
        <is>
          <t>HIGH</t>
        </is>
      </c>
    </row>
    <row r="118">
      <c r="A118" s="62" t="inlineStr">
        <is>
          <t>D16</t>
        </is>
      </c>
      <c r="B118" s="62" t="inlineStr">
        <is>
          <t>50114</t>
        </is>
      </c>
      <c r="C118" s="62" t="inlineStr">
        <is>
          <t>50114 - Openings</t>
        </is>
      </c>
      <c r="D118" s="62" t="inlineStr">
        <is>
          <t>Door Stop</t>
        </is>
      </c>
      <c r="E118" s="62" t="inlineStr">
        <is>
          <t>Door | Stop</t>
        </is>
      </c>
      <c r="F118" s="62" t="inlineStr">
        <is>
          <t>nr</t>
        </is>
      </c>
      <c r="G118" s="62" t="n">
        <v>4</v>
      </c>
      <c r="H118" s="62" t="inlineStr">
        <is>
          <t>calculated</t>
        </is>
      </c>
      <c r="I118" s="62" t="inlineStr">
        <is>
          <t>assembly_rule:door_single_hinged</t>
        </is>
      </c>
      <c r="J118" s="62" t="inlineStr">
        <is>
          <t>dxf_blocks: DOOR_82 count=4</t>
        </is>
      </c>
      <c r="K118" s="62" t="inlineStr">
        <is>
          <t>door_single_hinged → x</t>
        </is>
      </c>
      <c r="L118" s="62" t="inlineStr">
        <is>
          <t>HIGH</t>
        </is>
      </c>
    </row>
    <row r="119">
      <c r="A119" s="62" t="inlineStr">
        <is>
          <t>D17</t>
        </is>
      </c>
      <c r="B119" s="62" t="inlineStr">
        <is>
          <t>50114</t>
        </is>
      </c>
      <c r="C119" s="62" t="inlineStr">
        <is>
          <t>50114 - Openings</t>
        </is>
      </c>
      <c r="D119" s="62" t="inlineStr">
        <is>
          <t>Door Leaf</t>
        </is>
      </c>
      <c r="E119" s="62" t="inlineStr">
        <is>
          <t>Door — Leaf Supply</t>
        </is>
      </c>
      <c r="F119" s="62" t="inlineStr">
        <is>
          <t>nr</t>
        </is>
      </c>
      <c r="G119" s="62" t="n">
        <v>1</v>
      </c>
      <c r="H119" s="62" t="inlineStr">
        <is>
          <t>calculated</t>
        </is>
      </c>
      <c r="I119" s="62" t="inlineStr">
        <is>
          <t>assembly_rule:door_single_hinged</t>
        </is>
      </c>
      <c r="J119" s="62" t="inlineStr">
        <is>
          <t>dxf_blocks: DOOR_72 count=1</t>
        </is>
      </c>
      <c r="K119" s="62" t="inlineStr">
        <is>
          <t>door_single_hinged → x</t>
        </is>
      </c>
      <c r="L119" s="62" t="inlineStr">
        <is>
          <t>HIGH</t>
        </is>
      </c>
    </row>
    <row r="120">
      <c r="A120" s="62" t="inlineStr">
        <is>
          <t>D18</t>
        </is>
      </c>
      <c r="B120" s="62" t="inlineStr">
        <is>
          <t>50114</t>
        </is>
      </c>
      <c r="C120" s="62" t="inlineStr">
        <is>
          <t>50114 - Openings</t>
        </is>
      </c>
      <c r="D120" s="62" t="inlineStr">
        <is>
          <t>Door Frame Set</t>
        </is>
      </c>
      <c r="E120" s="62" t="inlineStr">
        <is>
          <t>Door — Frame Set</t>
        </is>
      </c>
      <c r="F120" s="62" t="inlineStr">
        <is>
          <t>nr</t>
        </is>
      </c>
      <c r="G120" s="62" t="n">
        <v>1</v>
      </c>
      <c r="H120" s="62" t="inlineStr">
        <is>
          <t>calculated</t>
        </is>
      </c>
      <c r="I120" s="62" t="inlineStr">
        <is>
          <t>assembly_rule:door_single_hinged</t>
        </is>
      </c>
      <c r="J120" s="62" t="inlineStr">
        <is>
          <t>dxf_blocks: DOOR_72 count=1</t>
        </is>
      </c>
      <c r="K120" s="62" t="inlineStr">
        <is>
          <t>door_single_hinged → x</t>
        </is>
      </c>
      <c r="L120" s="62" t="inlineStr">
        <is>
          <t>HIGH</t>
        </is>
      </c>
    </row>
    <row r="121">
      <c r="A121" s="62" t="inlineStr">
        <is>
          <t>D19</t>
        </is>
      </c>
      <c r="B121" s="62" t="inlineStr">
        <is>
          <t>50114</t>
        </is>
      </c>
      <c r="C121" s="62" t="inlineStr">
        <is>
          <t>50114 - Openings</t>
        </is>
      </c>
      <c r="D121" s="62" t="inlineStr">
        <is>
          <t>Door Hinge (pair)</t>
        </is>
      </c>
      <c r="E121" s="62" t="inlineStr">
        <is>
          <t>Door | Hinge (pair)</t>
        </is>
      </c>
      <c r="F121" s="62" t="inlineStr">
        <is>
          <t>nr</t>
        </is>
      </c>
      <c r="G121" s="62" t="n">
        <v>3</v>
      </c>
      <c r="H121" s="62" t="inlineStr">
        <is>
          <t>calculated</t>
        </is>
      </c>
      <c r="I121" s="62" t="inlineStr">
        <is>
          <t>assembly_rule:door_single_hinged</t>
        </is>
      </c>
      <c r="J121" s="62" t="inlineStr">
        <is>
          <t>dxf_blocks: DOOR_72 count=1</t>
        </is>
      </c>
      <c r="K121" s="62" t="inlineStr">
        <is>
          <t>door_single_hinged → x * 3  [note: 3 pairs per door (standard)]</t>
        </is>
      </c>
      <c r="L121" s="62" t="inlineStr">
        <is>
          <t>MEDIUM</t>
        </is>
      </c>
    </row>
    <row r="122">
      <c r="A122" s="62" t="inlineStr">
        <is>
          <t>D20</t>
        </is>
      </c>
      <c r="B122" s="62" t="inlineStr">
        <is>
          <t>50114</t>
        </is>
      </c>
      <c r="C122" s="62" t="inlineStr">
        <is>
          <t>50114 - Openings</t>
        </is>
      </c>
      <c r="D122" s="62" t="inlineStr">
        <is>
          <t>Door Lockset</t>
        </is>
      </c>
      <c r="E122" s="62" t="inlineStr">
        <is>
          <t>Door | Lockset</t>
        </is>
      </c>
      <c r="F122" s="62" t="inlineStr">
        <is>
          <t>nr</t>
        </is>
      </c>
      <c r="G122" s="62" t="n">
        <v>1</v>
      </c>
      <c r="H122" s="62" t="inlineStr">
        <is>
          <t>calculated</t>
        </is>
      </c>
      <c r="I122" s="62" t="inlineStr">
        <is>
          <t>assembly_rule:door_single_hinged</t>
        </is>
      </c>
      <c r="J122" s="62" t="inlineStr">
        <is>
          <t>dxf_blocks: DOOR_72 count=1</t>
        </is>
      </c>
      <c r="K122" s="62" t="inlineStr">
        <is>
          <t>door_single_hinged → x</t>
        </is>
      </c>
      <c r="L122" s="62" t="inlineStr">
        <is>
          <t>HIGH</t>
        </is>
      </c>
    </row>
    <row r="123">
      <c r="A123" s="62" t="inlineStr">
        <is>
          <t>D21</t>
        </is>
      </c>
      <c r="B123" s="62" t="inlineStr">
        <is>
          <t>50114</t>
        </is>
      </c>
      <c r="C123" s="62" t="inlineStr">
        <is>
          <t>50114 - Openings</t>
        </is>
      </c>
      <c r="D123" s="62" t="inlineStr">
        <is>
          <t>Door Stop</t>
        </is>
      </c>
      <c r="E123" s="62" t="inlineStr">
        <is>
          <t>Door | Stop</t>
        </is>
      </c>
      <c r="F123" s="62" t="inlineStr">
        <is>
          <t>nr</t>
        </is>
      </c>
      <c r="G123" s="62" t="n">
        <v>1</v>
      </c>
      <c r="H123" s="62" t="inlineStr">
        <is>
          <t>calculated</t>
        </is>
      </c>
      <c r="I123" s="62" t="inlineStr">
        <is>
          <t>assembly_rule:door_single_hinged</t>
        </is>
      </c>
      <c r="J123" s="62" t="inlineStr">
        <is>
          <t>dxf_blocks: DOOR_72 count=1</t>
        </is>
      </c>
      <c r="K123" s="62" t="inlineStr">
        <is>
          <t>door_single_hinged → x</t>
        </is>
      </c>
      <c r="L123" s="62" t="inlineStr">
        <is>
          <t>HIGH</t>
        </is>
      </c>
    </row>
    <row r="124">
      <c r="A124" s="62" t="inlineStr">
        <is>
          <t>D22</t>
        </is>
      </c>
      <c r="B124" s="62" t="inlineStr">
        <is>
          <t>50114</t>
        </is>
      </c>
      <c r="C124" s="62" t="inlineStr">
        <is>
          <t>50114 - Openings</t>
        </is>
      </c>
      <c r="D124" s="62" t="inlineStr">
        <is>
          <t>Window — WINDOW_LOUVRE_1100 (1080 × 1203mm)</t>
        </is>
      </c>
      <c r="E124" s="62" t="inlineStr">
        <is>
          <t>Window | Louvre, 1100mm Wide</t>
        </is>
      </c>
      <c r="F124" s="62" t="inlineStr">
        <is>
          <t>nr</t>
        </is>
      </c>
      <c r="G124" s="62" t="n">
        <v>8</v>
      </c>
      <c r="H124" s="62" t="inlineStr">
        <is>
          <t>measured</t>
        </is>
      </c>
      <c r="I124" s="62" t="inlineStr">
        <is>
          <t>count from source</t>
        </is>
      </c>
      <c r="J124" s="62" t="inlineStr">
        <is>
          <t>framecad_panel_label_ocr: mark=WINDOW_LOUVRE_1100 count=8</t>
        </is>
      </c>
      <c r="K124" s="62" t="inlineStr">
        <is>
          <t>direct count</t>
        </is>
      </c>
      <c r="L124" s="62" t="inlineStr">
        <is>
          <t>MEDIUM</t>
        </is>
      </c>
    </row>
    <row r="125">
      <c r="A125" s="62" t="inlineStr">
        <is>
          <t>D23</t>
        </is>
      </c>
      <c r="B125" s="62" t="inlineStr">
        <is>
          <t>50114</t>
        </is>
      </c>
      <c r="C125" s="62" t="inlineStr">
        <is>
          <t>50114 - Openings</t>
        </is>
      </c>
      <c r="D125" s="62" t="inlineStr">
        <is>
          <t>Window — WINDOW_LOUVRE_800 (799 × 623mm)</t>
        </is>
      </c>
      <c r="E125" s="62" t="inlineStr">
        <is>
          <t>Window | Louvre, 800mm Wide</t>
        </is>
      </c>
      <c r="F125" s="62" t="inlineStr">
        <is>
          <t>nr</t>
        </is>
      </c>
      <c r="G125" s="62" t="n">
        <v>2</v>
      </c>
      <c r="H125" s="62" t="inlineStr">
        <is>
          <t>measured</t>
        </is>
      </c>
      <c r="I125" s="62" t="inlineStr">
        <is>
          <t>count from source</t>
        </is>
      </c>
      <c r="J125" s="62" t="inlineStr">
        <is>
          <t>framecad_panel_label_ocr: mark=WINDOW_LOUVRE_800 count=2</t>
        </is>
      </c>
      <c r="K125" s="62" t="inlineStr">
        <is>
          <t>direct count</t>
        </is>
      </c>
      <c r="L125" s="62" t="inlineStr">
        <is>
          <t>MEDIUM</t>
        </is>
      </c>
    </row>
    <row r="126">
      <c r="A126" s="62" t="inlineStr">
        <is>
          <t>D24</t>
        </is>
      </c>
      <c r="B126" s="62" t="inlineStr">
        <is>
          <t>50114</t>
        </is>
      </c>
      <c r="C126" s="62" t="inlineStr">
        <is>
          <t>50114 - Openings</t>
        </is>
      </c>
      <c r="D126" s="62" t="inlineStr">
        <is>
          <t>Window — WINDOW_LOUVRE_1800 (1847mm wide)</t>
        </is>
      </c>
      <c r="E126" s="62" t="inlineStr">
        <is>
          <t>Window | Louvre, 1800mm Wide</t>
        </is>
      </c>
      <c r="F126" s="62" t="inlineStr">
        <is>
          <t>nr</t>
        </is>
      </c>
      <c r="G126" s="62" t="n">
        <v>1</v>
      </c>
      <c r="H126" s="62" t="inlineStr">
        <is>
          <t>measured</t>
        </is>
      </c>
      <c r="I126" s="62" t="inlineStr">
        <is>
          <t>count from source</t>
        </is>
      </c>
      <c r="J126" s="62" t="inlineStr">
        <is>
          <t>dxf_blocks: mark=WINDOW_LOUVRE_1800 count=1</t>
        </is>
      </c>
      <c r="K126" s="62" t="inlineStr">
        <is>
          <t>direct count</t>
        </is>
      </c>
      <c r="L126" s="62" t="inlineStr">
        <is>
          <t>MEDIUM</t>
        </is>
      </c>
    </row>
    <row r="127">
      <c r="A127" s="62" t="inlineStr">
        <is>
          <t>D25</t>
        </is>
      </c>
      <c r="B127" s="62" t="inlineStr">
        <is>
          <t>50114</t>
        </is>
      </c>
      <c r="C127" s="62" t="inlineStr">
        <is>
          <t>50114 - Openings</t>
        </is>
      </c>
      <c r="D127" s="62" t="inlineStr">
        <is>
          <t>Window — Total Count (all marks)</t>
        </is>
      </c>
      <c r="E127" s="62" t="inlineStr">
        <is>
          <t>Window — Total Count (all marks)</t>
        </is>
      </c>
      <c r="F127" s="62" t="inlineStr">
        <is>
          <t>nr</t>
        </is>
      </c>
      <c r="G127" s="62" t="n">
        <v>11</v>
      </c>
      <c r="H127" s="62" t="inlineStr">
        <is>
          <t>measured</t>
        </is>
      </c>
      <c r="I127" s="62" t="inlineStr">
        <is>
          <t>sum of all window mark quantities = 11 nr</t>
        </is>
      </c>
      <c r="J127" s="62" t="inlineStr">
        <is>
          <t>dxf_blocks: WINDOW_LOUVRE_1100×8, WINDOW_LOUVRE_800×2, WINDOW_LOUVRE_1800×1</t>
        </is>
      </c>
      <c r="K127" s="62" t="inlineStr">
        <is>
          <t>sum(qty per mark)</t>
        </is>
      </c>
      <c r="L127" s="62" t="inlineStr">
        <is>
          <t>MEDIUM</t>
        </is>
      </c>
    </row>
    <row r="128">
      <c r="A128" s="62" t="inlineStr">
        <is>
          <t>D26</t>
        </is>
      </c>
      <c r="B128" s="62" t="inlineStr">
        <is>
          <t>50114</t>
        </is>
      </c>
      <c r="C128" s="62" t="inlineStr">
        <is>
          <t>50114 - Openings</t>
        </is>
      </c>
      <c r="D128" s="62" t="inlineStr">
        <is>
          <t>Window Head Flashing — WINDOW_LOUVRE_1100</t>
        </is>
      </c>
      <c r="E128" s="62" t="inlineStr">
        <is>
          <t>Flashing | Window Head, Galvanised</t>
        </is>
      </c>
      <c r="F128" s="62" t="inlineStr">
        <is>
          <t>lm</t>
        </is>
      </c>
      <c r="G128" s="62" t="n">
        <v>9.44</v>
      </c>
      <c r="H128" s="62" t="inlineStr">
        <is>
          <t>calculated</t>
        </is>
      </c>
      <c r="I128" s="62" t="inlineStr">
        <is>
          <t>(window_width + 50mm overrun × 2) × count = (1.08+0.100)×8</t>
        </is>
      </c>
      <c r="J128" s="62" t="inlineStr">
        <is>
          <t>framecad_panel_label_ocr: block_name: WINDOW_LOUVRE_1100 count=8</t>
        </is>
      </c>
      <c r="K128" s="62" t="inlineStr">
        <is>
          <t>(1.08+0.100)×8</t>
        </is>
      </c>
      <c r="L128" s="62" t="inlineStr">
        <is>
          <t>MEDIUM</t>
        </is>
      </c>
    </row>
    <row r="129">
      <c r="A129" s="62" t="inlineStr">
        <is>
          <t>D27</t>
        </is>
      </c>
      <c r="B129" s="62" t="inlineStr">
        <is>
          <t>50114</t>
        </is>
      </c>
      <c r="C129" s="62" t="inlineStr">
        <is>
          <t>50114 - Openings</t>
        </is>
      </c>
      <c r="D129" s="62" t="inlineStr">
        <is>
          <t>Window Sill Flashing — WINDOW_LOUVRE_1100</t>
        </is>
      </c>
      <c r="E129" s="62" t="inlineStr">
        <is>
          <t>Flashing | Window Sill, Galvanised</t>
        </is>
      </c>
      <c r="F129" s="62" t="inlineStr">
        <is>
          <t>lm</t>
        </is>
      </c>
      <c r="G129" s="62" t="n">
        <v>9.44</v>
      </c>
      <c r="H129" s="62" t="inlineStr">
        <is>
          <t>calculated</t>
        </is>
      </c>
      <c r="I129" s="62" t="inlineStr">
        <is>
          <t>(window_width + 50mm overrun × 2) × count = (1.08+0.100)×8</t>
        </is>
      </c>
      <c r="J129" s="62" t="inlineStr">
        <is>
          <t>framecad_panel_label_ocr: block_name: WINDOW_LOUVRE_1100 count=8</t>
        </is>
      </c>
      <c r="K129" s="62" t="inlineStr">
        <is>
          <t>(1.08+0.100)×8</t>
        </is>
      </c>
      <c r="L129" s="62" t="inlineStr">
        <is>
          <t>MEDIUM</t>
        </is>
      </c>
    </row>
    <row r="130">
      <c r="A130" s="62" t="inlineStr">
        <is>
          <t>D28</t>
        </is>
      </c>
      <c r="B130" s="62" t="inlineStr">
        <is>
          <t>50114</t>
        </is>
      </c>
      <c r="C130" s="62" t="inlineStr">
        <is>
          <t>50114 - Openings</t>
        </is>
      </c>
      <c r="D130" s="62" t="inlineStr">
        <is>
          <t>Louvre Blade — WINDOW_LOUVRE_1100</t>
        </is>
      </c>
      <c r="E130" s="62" t="inlineStr">
        <is>
          <t>Window | Louvre Blade, 1100mm Wide</t>
        </is>
      </c>
      <c r="F130" s="62" t="inlineStr">
        <is>
          <t>nr</t>
        </is>
      </c>
      <c r="G130" s="62" t="n">
        <v>104</v>
      </c>
      <c r="H130" s="62" t="inlineStr">
        <is>
          <t>calculated</t>
        </is>
      </c>
      <c r="I130" s="62" t="inlineStr">
        <is>
          <t>ceil(frame_h(1203mm) / 100mm pitch) × count = 13 blades × 8</t>
        </is>
      </c>
      <c r="J130" s="62" t="inlineStr">
        <is>
          <t>framecad_panel_label_ocr: opening_schedule count=8</t>
        </is>
      </c>
      <c r="K130" s="62" t="inlineStr">
        <is>
          <t>ceil(1203/100) × 8</t>
        </is>
      </c>
      <c r="L130" s="62" t="inlineStr">
        <is>
          <t>MEDIUM</t>
        </is>
      </c>
    </row>
    <row r="131">
      <c r="A131" s="62" t="inlineStr">
        <is>
          <t>D29</t>
        </is>
      </c>
      <c r="B131" s="62" t="inlineStr">
        <is>
          <t>50114</t>
        </is>
      </c>
      <c r="C131" s="62" t="inlineStr">
        <is>
          <t>50114 - Openings</t>
        </is>
      </c>
      <c r="D131" s="62" t="inlineStr">
        <is>
          <t>Window Head Flashing — WINDOW_LOUVRE_800</t>
        </is>
      </c>
      <c r="E131" s="62" t="inlineStr">
        <is>
          <t>Flashing | Window Head, Galvanised</t>
        </is>
      </c>
      <c r="F131" s="62" t="inlineStr">
        <is>
          <t>lm</t>
        </is>
      </c>
      <c r="G131" s="62" t="n">
        <v>1.8</v>
      </c>
      <c r="H131" s="62" t="inlineStr">
        <is>
          <t>calculated</t>
        </is>
      </c>
      <c r="I131" s="62" t="inlineStr">
        <is>
          <t>(window_width + 50mm overrun × 2) × count = (0.80+0.100)×2</t>
        </is>
      </c>
      <c r="J131" s="62" t="inlineStr">
        <is>
          <t>framecad_panel_label_ocr: block_name: WINDOW_LOUVRE_800 count=2</t>
        </is>
      </c>
      <c r="K131" s="62" t="inlineStr">
        <is>
          <t>(0.80+0.100)×2</t>
        </is>
      </c>
      <c r="L131" s="62" t="inlineStr">
        <is>
          <t>MEDIUM</t>
        </is>
      </c>
    </row>
    <row r="132">
      <c r="A132" s="62" t="inlineStr">
        <is>
          <t>D30</t>
        </is>
      </c>
      <c r="B132" s="62" t="inlineStr">
        <is>
          <t>50114</t>
        </is>
      </c>
      <c r="C132" s="62" t="inlineStr">
        <is>
          <t>50114 - Openings</t>
        </is>
      </c>
      <c r="D132" s="62" t="inlineStr">
        <is>
          <t>Window Sill Flashing — WINDOW_LOUVRE_800</t>
        </is>
      </c>
      <c r="E132" s="62" t="inlineStr">
        <is>
          <t>Flashing | Window Sill, Galvanised</t>
        </is>
      </c>
      <c r="F132" s="62" t="inlineStr">
        <is>
          <t>lm</t>
        </is>
      </c>
      <c r="G132" s="62" t="n">
        <v>1.8</v>
      </c>
      <c r="H132" s="62" t="inlineStr">
        <is>
          <t>calculated</t>
        </is>
      </c>
      <c r="I132" s="62" t="inlineStr">
        <is>
          <t>(window_width + 50mm overrun × 2) × count = (0.80+0.100)×2</t>
        </is>
      </c>
      <c r="J132" s="62" t="inlineStr">
        <is>
          <t>framecad_panel_label_ocr: block_name: WINDOW_LOUVRE_800 count=2</t>
        </is>
      </c>
      <c r="K132" s="62" t="inlineStr">
        <is>
          <t>(0.80+0.100)×2</t>
        </is>
      </c>
      <c r="L132" s="62" t="inlineStr">
        <is>
          <t>MEDIUM</t>
        </is>
      </c>
    </row>
    <row r="133">
      <c r="A133" s="62" t="inlineStr">
        <is>
          <t>D31</t>
        </is>
      </c>
      <c r="B133" s="62" t="inlineStr">
        <is>
          <t>50114</t>
        </is>
      </c>
      <c r="C133" s="62" t="inlineStr">
        <is>
          <t>50114 - Openings</t>
        </is>
      </c>
      <c r="D133" s="62" t="inlineStr">
        <is>
          <t>Louvre Blade — WINDOW_LOUVRE_800</t>
        </is>
      </c>
      <c r="E133" s="62" t="inlineStr">
        <is>
          <t>Window | Louvre Blade, 800mm Wide</t>
        </is>
      </c>
      <c r="F133" s="62" t="inlineStr">
        <is>
          <t>nr</t>
        </is>
      </c>
      <c r="G133" s="62" t="n">
        <v>14</v>
      </c>
      <c r="H133" s="62" t="inlineStr">
        <is>
          <t>calculated</t>
        </is>
      </c>
      <c r="I133" s="62" t="inlineStr">
        <is>
          <t>ceil(frame_h(623mm) / 100mm pitch) × count = 7 blades × 2</t>
        </is>
      </c>
      <c r="J133" s="62" t="inlineStr">
        <is>
          <t>framecad_panel_label_ocr: opening_schedule count=2</t>
        </is>
      </c>
      <c r="K133" s="62" t="inlineStr">
        <is>
          <t>ceil(623/100) × 2</t>
        </is>
      </c>
      <c r="L133" s="62" t="inlineStr">
        <is>
          <t>MEDIUM</t>
        </is>
      </c>
    </row>
    <row r="134">
      <c r="A134" s="62" t="inlineStr">
        <is>
          <t>D32</t>
        </is>
      </c>
      <c r="B134" s="62" t="inlineStr">
        <is>
          <t>50114</t>
        </is>
      </c>
      <c r="C134" s="62" t="inlineStr">
        <is>
          <t>50114 - Openings</t>
        </is>
      </c>
      <c r="D134" s="62" t="inlineStr">
        <is>
          <t>Window Head Flashing — WINDOW_LOUVRE_1800</t>
        </is>
      </c>
      <c r="E134" s="62" t="inlineStr">
        <is>
          <t>Flashing | Window Head, Galvanised</t>
        </is>
      </c>
      <c r="F134" s="62" t="inlineStr">
        <is>
          <t>lm</t>
        </is>
      </c>
      <c r="G134" s="62" t="n">
        <v>1.95</v>
      </c>
      <c r="H134" s="62" t="inlineStr">
        <is>
          <t>calculated</t>
        </is>
      </c>
      <c r="I134" s="62" t="inlineStr">
        <is>
          <t>(window_width + 50mm overrun × 2) × count = (1.85+0.100)×1</t>
        </is>
      </c>
      <c r="J134" s="62" t="inlineStr">
        <is>
          <t>dxf_blocks: block_name: WINDOW_LOUVRE_1800 count=1</t>
        </is>
      </c>
      <c r="K134" s="62" t="inlineStr">
        <is>
          <t>(1.85+0.100)×1</t>
        </is>
      </c>
      <c r="L134" s="62" t="inlineStr">
        <is>
          <t>MEDIUM</t>
        </is>
      </c>
    </row>
    <row r="135">
      <c r="A135" s="62" t="inlineStr">
        <is>
          <t>D33</t>
        </is>
      </c>
      <c r="B135" s="62" t="inlineStr">
        <is>
          <t>50114</t>
        </is>
      </c>
      <c r="C135" s="62" t="inlineStr">
        <is>
          <t>50114 - Openings</t>
        </is>
      </c>
      <c r="D135" s="62" t="inlineStr">
        <is>
          <t>Window Sill Flashing — WINDOW_LOUVRE_1800</t>
        </is>
      </c>
      <c r="E135" s="62" t="inlineStr">
        <is>
          <t>Flashing | Window Sill, Galvanised</t>
        </is>
      </c>
      <c r="F135" s="62" t="inlineStr">
        <is>
          <t>lm</t>
        </is>
      </c>
      <c r="G135" s="62" t="n">
        <v>1.95</v>
      </c>
      <c r="H135" s="62" t="inlineStr">
        <is>
          <t>calculated</t>
        </is>
      </c>
      <c r="I135" s="62" t="inlineStr">
        <is>
          <t>(window_width + 50mm overrun × 2) × count = (1.85+0.100)×1</t>
        </is>
      </c>
      <c r="J135" s="62" t="inlineStr">
        <is>
          <t>dxf_blocks: block_name: WINDOW_LOUVRE_1800 count=1</t>
        </is>
      </c>
      <c r="K135" s="62" t="inlineStr">
        <is>
          <t>(1.85+0.100)×1</t>
        </is>
      </c>
      <c r="L135" s="62" t="inlineStr">
        <is>
          <t>MEDIUM</t>
        </is>
      </c>
    </row>
    <row r="136">
      <c r="A136" s="62" t="inlineStr">
        <is>
          <t>D34</t>
        </is>
      </c>
      <c r="B136" s="62" t="inlineStr">
        <is>
          <t>50114</t>
        </is>
      </c>
      <c r="C136" s="62" t="inlineStr">
        <is>
          <t>50114 - Openings</t>
        </is>
      </c>
      <c r="D136" s="62" t="inlineStr">
        <is>
          <t>Louvre Blade — WINDOW_LOUVRE_1800</t>
        </is>
      </c>
      <c r="E136" s="62" t="inlineStr">
        <is>
          <t>Window | Louvre Blade, 1800mm Wide</t>
        </is>
      </c>
      <c r="F136" s="62" t="inlineStr">
        <is>
          <t>nr</t>
        </is>
      </c>
      <c r="G136" s="62" t="n">
        <v>8</v>
      </c>
      <c r="H136" s="62" t="inlineStr">
        <is>
          <t>calculated</t>
        </is>
      </c>
      <c r="I136" s="62" t="inlineStr">
        <is>
          <t>ceil(frame_h(750mm) / 100mm pitch) × count = 8 blades × 1</t>
        </is>
      </c>
      <c r="J136" s="62" t="inlineStr">
        <is>
          <t>dxf_blocks: config_default=750mm count=1</t>
        </is>
      </c>
      <c r="K136" s="62" t="inlineStr">
        <is>
          <t>ceil(750/100) × 1</t>
        </is>
      </c>
      <c r="L136" s="62" t="inlineStr">
        <is>
          <t>LOW</t>
        </is>
      </c>
    </row>
    <row r="137">
      <c r="A137" s="62" t="inlineStr">
        <is>
          <t>D35</t>
        </is>
      </c>
      <c r="B137" s="62" t="inlineStr">
        <is>
          <t>50114</t>
        </is>
      </c>
      <c r="C137" s="62" t="inlineStr">
        <is>
          <t>50114 - Openings</t>
        </is>
      </c>
      <c r="D137" s="62" t="inlineStr">
        <is>
          <t>Louvre Window Frame</t>
        </is>
      </c>
      <c r="E137" s="62" t="inlineStr">
        <is>
          <t>Window | Louvre Frame</t>
        </is>
      </c>
      <c r="F137" s="62" t="inlineStr">
        <is>
          <t>nr</t>
        </is>
      </c>
      <c r="G137" s="62" t="n">
        <v>8</v>
      </c>
      <c r="H137" s="62" t="inlineStr">
        <is>
          <t>calculated</t>
        </is>
      </c>
      <c r="I137" s="62" t="inlineStr">
        <is>
          <t>assembly_rule:window_louvre</t>
        </is>
      </c>
      <c r="J137" s="62" t="inlineStr">
        <is>
          <t>framecad_panel_label_ocr: WINDOW_LOUVRE_1100 count=8</t>
        </is>
      </c>
      <c r="K137" s="62" t="inlineStr">
        <is>
          <t>window_louvre → x</t>
        </is>
      </c>
      <c r="L137" s="62" t="inlineStr">
        <is>
          <t>MEDIUM</t>
        </is>
      </c>
    </row>
    <row r="138">
      <c r="A138" s="62" t="inlineStr">
        <is>
          <t>D36</t>
        </is>
      </c>
      <c r="B138" s="62" t="inlineStr">
        <is>
          <t>50114</t>
        </is>
      </c>
      <c r="C138" s="62" t="inlineStr">
        <is>
          <t>50114 - Openings</t>
        </is>
      </c>
      <c r="D138" s="62" t="inlineStr">
        <is>
          <t>Louvre Blade Set</t>
        </is>
      </c>
      <c r="E138" s="62" t="inlineStr">
        <is>
          <t>Window | Louvre Blade</t>
        </is>
      </c>
      <c r="F138" s="62" t="inlineStr">
        <is>
          <t>nr</t>
        </is>
      </c>
      <c r="G138" s="62" t="n">
        <v>8</v>
      </c>
      <c r="H138" s="62" t="inlineStr">
        <is>
          <t>calculated</t>
        </is>
      </c>
      <c r="I138" s="62" t="inlineStr">
        <is>
          <t>assembly_rule:window_louvre</t>
        </is>
      </c>
      <c r="J138" s="62" t="inlineStr">
        <is>
          <t>framecad_panel_label_ocr: WINDOW_LOUVRE_1100 count=8</t>
        </is>
      </c>
      <c r="K138" s="62" t="inlineStr">
        <is>
          <t>window_louvre → x</t>
        </is>
      </c>
      <c r="L138" s="62" t="inlineStr">
        <is>
          <t>MEDIUM</t>
        </is>
      </c>
    </row>
    <row r="139">
      <c r="A139" s="62" t="inlineStr">
        <is>
          <t>D37</t>
        </is>
      </c>
      <c r="B139" s="62" t="inlineStr">
        <is>
          <t>50114</t>
        </is>
      </c>
      <c r="C139" s="62" t="inlineStr">
        <is>
          <t>50114 - Openings</t>
        </is>
      </c>
      <c r="D139" s="62" t="inlineStr">
        <is>
          <t>Flyscreen</t>
        </is>
      </c>
      <c r="E139" s="62" t="inlineStr">
        <is>
          <t>Window | Fly Screen</t>
        </is>
      </c>
      <c r="F139" s="62" t="inlineStr">
        <is>
          <t>nr</t>
        </is>
      </c>
      <c r="G139" s="62" t="n">
        <v>8</v>
      </c>
      <c r="H139" s="62" t="inlineStr">
        <is>
          <t>calculated</t>
        </is>
      </c>
      <c r="I139" s="62" t="inlineStr">
        <is>
          <t>assembly_rule:window_louvre</t>
        </is>
      </c>
      <c r="J139" s="62" t="inlineStr">
        <is>
          <t>framecad_panel_label_ocr: WINDOW_LOUVRE_1100 count=8</t>
        </is>
      </c>
      <c r="K139" s="62" t="inlineStr">
        <is>
          <t>window_louvre → x</t>
        </is>
      </c>
      <c r="L139" s="62" t="inlineStr">
        <is>
          <t>MEDIUM</t>
        </is>
      </c>
    </row>
    <row r="140">
      <c r="A140" s="62" t="inlineStr">
        <is>
          <t>D38</t>
        </is>
      </c>
      <c r="B140" s="62" t="inlineStr">
        <is>
          <t>50114</t>
        </is>
      </c>
      <c r="C140" s="62" t="inlineStr">
        <is>
          <t>50114 - Openings</t>
        </is>
      </c>
      <c r="D140" s="62" t="inlineStr">
        <is>
          <t>Louvre Window Frame</t>
        </is>
      </c>
      <c r="E140" s="62" t="inlineStr">
        <is>
          <t>Window | Louvre Frame</t>
        </is>
      </c>
      <c r="F140" s="62" t="inlineStr">
        <is>
          <t>nr</t>
        </is>
      </c>
      <c r="G140" s="62" t="n">
        <v>2</v>
      </c>
      <c r="H140" s="62" t="inlineStr">
        <is>
          <t>calculated</t>
        </is>
      </c>
      <c r="I140" s="62" t="inlineStr">
        <is>
          <t>assembly_rule:window_louvre</t>
        </is>
      </c>
      <c r="J140" s="62" t="inlineStr">
        <is>
          <t>framecad_panel_label_ocr: WINDOW_LOUVRE_800 count=2</t>
        </is>
      </c>
      <c r="K140" s="62" t="inlineStr">
        <is>
          <t>window_louvre → x</t>
        </is>
      </c>
      <c r="L140" s="62" t="inlineStr">
        <is>
          <t>MEDIUM</t>
        </is>
      </c>
    </row>
    <row r="141">
      <c r="A141" s="62" t="inlineStr">
        <is>
          <t>D39</t>
        </is>
      </c>
      <c r="B141" s="62" t="inlineStr">
        <is>
          <t>50114</t>
        </is>
      </c>
      <c r="C141" s="62" t="inlineStr">
        <is>
          <t>50114 - Openings</t>
        </is>
      </c>
      <c r="D141" s="62" t="inlineStr">
        <is>
          <t>Louvre Blade Set</t>
        </is>
      </c>
      <c r="E141" s="62" t="inlineStr">
        <is>
          <t>Window | Louvre Blade</t>
        </is>
      </c>
      <c r="F141" s="62" t="inlineStr">
        <is>
          <t>nr</t>
        </is>
      </c>
      <c r="G141" s="62" t="n">
        <v>2</v>
      </c>
      <c r="H141" s="62" t="inlineStr">
        <is>
          <t>calculated</t>
        </is>
      </c>
      <c r="I141" s="62" t="inlineStr">
        <is>
          <t>assembly_rule:window_louvre</t>
        </is>
      </c>
      <c r="J141" s="62" t="inlineStr">
        <is>
          <t>framecad_panel_label_ocr: WINDOW_LOUVRE_800 count=2</t>
        </is>
      </c>
      <c r="K141" s="62" t="inlineStr">
        <is>
          <t>window_louvre → x</t>
        </is>
      </c>
      <c r="L141" s="62" t="inlineStr">
        <is>
          <t>MEDIUM</t>
        </is>
      </c>
    </row>
    <row r="142">
      <c r="A142" s="62" t="inlineStr">
        <is>
          <t>D40</t>
        </is>
      </c>
      <c r="B142" s="62" t="inlineStr">
        <is>
          <t>50114</t>
        </is>
      </c>
      <c r="C142" s="62" t="inlineStr">
        <is>
          <t>50114 - Openings</t>
        </is>
      </c>
      <c r="D142" s="62" t="inlineStr">
        <is>
          <t>Flyscreen</t>
        </is>
      </c>
      <c r="E142" s="62" t="inlineStr">
        <is>
          <t>Window | Fly Screen</t>
        </is>
      </c>
      <c r="F142" s="62" t="inlineStr">
        <is>
          <t>nr</t>
        </is>
      </c>
      <c r="G142" s="62" t="n">
        <v>2</v>
      </c>
      <c r="H142" s="62" t="inlineStr">
        <is>
          <t>calculated</t>
        </is>
      </c>
      <c r="I142" s="62" t="inlineStr">
        <is>
          <t>assembly_rule:window_louvre</t>
        </is>
      </c>
      <c r="J142" s="62" t="inlineStr">
        <is>
          <t>framecad_panel_label_ocr: WINDOW_LOUVRE_800 count=2</t>
        </is>
      </c>
      <c r="K142" s="62" t="inlineStr">
        <is>
          <t>window_louvre → x</t>
        </is>
      </c>
      <c r="L142" s="62" t="inlineStr">
        <is>
          <t>MEDIUM</t>
        </is>
      </c>
    </row>
    <row r="143">
      <c r="A143" s="62" t="inlineStr">
        <is>
          <t>D41</t>
        </is>
      </c>
      <c r="B143" s="62" t="inlineStr">
        <is>
          <t>50114</t>
        </is>
      </c>
      <c r="C143" s="62" t="inlineStr">
        <is>
          <t>50114 - Openings</t>
        </is>
      </c>
      <c r="D143" s="62" t="inlineStr">
        <is>
          <t>Louvre Window Frame</t>
        </is>
      </c>
      <c r="E143" s="62" t="inlineStr">
        <is>
          <t>Window | Louvre Frame</t>
        </is>
      </c>
      <c r="F143" s="62" t="inlineStr">
        <is>
          <t>nr</t>
        </is>
      </c>
      <c r="G143" s="62" t="n">
        <v>1</v>
      </c>
      <c r="H143" s="62" t="inlineStr">
        <is>
          <t>calculated</t>
        </is>
      </c>
      <c r="I143" s="62" t="inlineStr">
        <is>
          <t>assembly_rule:window_louvre</t>
        </is>
      </c>
      <c r="J143" s="62" t="inlineStr">
        <is>
          <t>dxf_blocks: WINDOW_LOUVRE_1800 count=1</t>
        </is>
      </c>
      <c r="K143" s="62" t="inlineStr">
        <is>
          <t>window_louvre → x</t>
        </is>
      </c>
      <c r="L143" s="62" t="inlineStr">
        <is>
          <t>MEDIUM</t>
        </is>
      </c>
    </row>
    <row r="144">
      <c r="A144" s="62" t="inlineStr">
        <is>
          <t>D42</t>
        </is>
      </c>
      <c r="B144" s="62" t="inlineStr">
        <is>
          <t>50114</t>
        </is>
      </c>
      <c r="C144" s="62" t="inlineStr">
        <is>
          <t>50114 - Openings</t>
        </is>
      </c>
      <c r="D144" s="62" t="inlineStr">
        <is>
          <t>Louvre Blade Set</t>
        </is>
      </c>
      <c r="E144" s="62" t="inlineStr">
        <is>
          <t>Window | Louvre Blade</t>
        </is>
      </c>
      <c r="F144" s="62" t="inlineStr">
        <is>
          <t>nr</t>
        </is>
      </c>
      <c r="G144" s="62" t="n">
        <v>1</v>
      </c>
      <c r="H144" s="62" t="inlineStr">
        <is>
          <t>calculated</t>
        </is>
      </c>
      <c r="I144" s="62" t="inlineStr">
        <is>
          <t>assembly_rule:window_louvre</t>
        </is>
      </c>
      <c r="J144" s="62" t="inlineStr">
        <is>
          <t>dxf_blocks: WINDOW_LOUVRE_1800 count=1</t>
        </is>
      </c>
      <c r="K144" s="62" t="inlineStr">
        <is>
          <t>window_louvre → x</t>
        </is>
      </c>
      <c r="L144" s="62" t="inlineStr">
        <is>
          <t>MEDIUM</t>
        </is>
      </c>
    </row>
    <row r="145">
      <c r="A145" s="62" t="inlineStr">
        <is>
          <t>D43</t>
        </is>
      </c>
      <c r="B145" s="62" t="inlineStr">
        <is>
          <t>50114</t>
        </is>
      </c>
      <c r="C145" s="62" t="inlineStr">
        <is>
          <t>50114 - Openings</t>
        </is>
      </c>
      <c r="D145" s="62" t="inlineStr">
        <is>
          <t>Flyscreen</t>
        </is>
      </c>
      <c r="E145" s="62" t="inlineStr">
        <is>
          <t>Window | Fly Screen</t>
        </is>
      </c>
      <c r="F145" s="62" t="inlineStr">
        <is>
          <t>nr</t>
        </is>
      </c>
      <c r="G145" s="62" t="n">
        <v>1</v>
      </c>
      <c r="H145" s="62" t="inlineStr">
        <is>
          <t>calculated</t>
        </is>
      </c>
      <c r="I145" s="62" t="inlineStr">
        <is>
          <t>assembly_rule:window_louvre</t>
        </is>
      </c>
      <c r="J145" s="62" t="inlineStr">
        <is>
          <t>dxf_blocks: WINDOW_LOUVRE_1800 count=1</t>
        </is>
      </c>
      <c r="K145" s="62" t="inlineStr">
        <is>
          <t>window_louvre → x</t>
        </is>
      </c>
      <c r="L145" s="62" t="inlineStr">
        <is>
          <t>MEDIUM</t>
        </is>
      </c>
    </row>
    <row r="146">
      <c r="A146" s="62" t="inlineStr">
        <is>
          <t>D44</t>
        </is>
      </c>
      <c r="B146" s="62" t="inlineStr">
        <is>
          <t>50114</t>
        </is>
      </c>
      <c r="C146" s="62" t="inlineStr">
        <is>
          <t>50114 - Openings</t>
        </is>
      </c>
      <c r="D146" s="62" t="inlineStr">
        <is>
          <t>Door Frame — Total Family lm (all marks combined)</t>
        </is>
      </c>
      <c r="E146" s="62" t="inlineStr">
        <is>
          <t>Door Frame — Total Family lm (all marks combined)</t>
        </is>
      </c>
      <c r="F146" s="62" t="inlineStr">
        <is>
          <t>lm</t>
        </is>
      </c>
      <c r="G146" s="62" t="n">
        <v>29.4</v>
      </c>
      <c r="H146" s="62" t="inlineStr">
        <is>
          <t>calculated</t>
        </is>
      </c>
      <c r="I146" s="62" t="inlineStr">
        <is>
          <t>sum((2×height + width) × qty) for each door mark</t>
        </is>
      </c>
      <c r="J146" s="62" t="inlineStr">
        <is>
          <t>dxf_blocks: DOOR_90×1: (2×2.040+0.920)×1=5.000lm; DOOR_82×4: (2×2.040+0.820)×4=19.600lm; DOOR_72×1: (2×2.040+0.720)×1=4.800lm</t>
        </is>
      </c>
      <c r="K146" s="62" t="inlineStr">
        <is>
          <t>sum((2h+w)×qty per mark)</t>
        </is>
      </c>
      <c r="L146" s="62" t="inlineStr">
        <is>
          <t>MEDIUM</t>
        </is>
      </c>
    </row>
    <row r="147">
      <c r="A147" s="62" t="inlineStr">
        <is>
          <t>D45</t>
        </is>
      </c>
      <c r="B147" s="62" t="inlineStr">
        <is>
          <t>50114</t>
        </is>
      </c>
      <c r="C147" s="62" t="inlineStr">
        <is>
          <t>50114 - Openings</t>
        </is>
      </c>
      <c r="D147" s="62" t="inlineStr">
        <is>
          <t>Louvre Window Frame — Total Family lm (all marks combined)</t>
        </is>
      </c>
      <c r="E147" s="62" t="inlineStr">
        <is>
          <t>Window | Louvre Frame, Total (lm)</t>
        </is>
      </c>
      <c r="F147" s="62" t="inlineStr">
        <is>
          <t>lm</t>
        </is>
      </c>
      <c r="G147" s="62" t="n">
        <v>35.33</v>
      </c>
      <c r="H147" s="62" t="inlineStr">
        <is>
          <t>calculated</t>
        </is>
      </c>
      <c r="I147" s="62" t="inlineStr">
        <is>
          <t>sum((2×height + width) × qty) for each window mark</t>
        </is>
      </c>
      <c r="J147" s="62" t="inlineStr">
        <is>
          <t>dxf_blocks+framecad_labels: WINDOW_LOUVRE_1100×8: (2×1.203+1.080)×8=27.888lm[h:schedule/label]; WINDOW_LOUVRE_800×2: (2×0.623+0.799)×2=4.090lm[h:schedule/label]; WINDOW_LOUVRE_1800×1: (2×0.750+1.847)×1=3.347lm[h:config_default]</t>
        </is>
      </c>
      <c r="K147" s="62" t="inlineStr">
        <is>
          <t>sum((2h+w)×qty per mark)</t>
        </is>
      </c>
      <c r="L147" s="62" t="inlineStr">
        <is>
          <t>LOW</t>
        </is>
      </c>
    </row>
    <row r="148">
      <c r="A148" s="62" t="inlineStr">
        <is>
          <t>D46</t>
        </is>
      </c>
      <c r="B148" s="62" t="inlineStr">
        <is>
          <t>50114</t>
        </is>
      </c>
      <c r="C148" s="62" t="inlineStr">
        <is>
          <t>50114 - Openings</t>
        </is>
      </c>
      <c r="D148" s="62" t="inlineStr">
        <is>
          <t>Fly Screen — WINDOW_LOUVRE_1100</t>
        </is>
      </c>
      <c r="E148" s="62" t="inlineStr">
        <is>
          <t>Window | Fly Screen, 1100mm Wide</t>
        </is>
      </c>
      <c r="F148" s="62" t="inlineStr">
        <is>
          <t>m2</t>
        </is>
      </c>
      <c r="G148" s="62" t="n">
        <v>10.39</v>
      </c>
      <c r="H148" s="62" t="inlineStr">
        <is>
          <t>calculated</t>
        </is>
      </c>
      <c r="I148" s="62" t="inlineStr">
        <is>
          <t>width(1.08m) × height(1.203m) × qty(8)</t>
        </is>
      </c>
      <c r="J148" s="62" t="inlineStr">
        <is>
          <t>framecad_panel_label_ocr: mark=WINDOW_LOUVRE_1100 w=1.08m (block_name) h=1.203m (opening_schedule) qty=8</t>
        </is>
      </c>
      <c r="K148" s="62" t="inlineStr">
        <is>
          <t>1.08 × 1.203 × 8</t>
        </is>
      </c>
      <c r="L148" s="62" t="inlineStr">
        <is>
          <t>MEDIUM</t>
        </is>
      </c>
    </row>
    <row r="149">
      <c r="A149" s="62" t="inlineStr">
        <is>
          <t>D47</t>
        </is>
      </c>
      <c r="B149" s="62" t="inlineStr">
        <is>
          <t>50114</t>
        </is>
      </c>
      <c r="C149" s="62" t="inlineStr">
        <is>
          <t>50114 - Openings</t>
        </is>
      </c>
      <c r="D149" s="62" t="inlineStr">
        <is>
          <t>Fly Screen — WINDOW_LOUVRE_800</t>
        </is>
      </c>
      <c r="E149" s="62" t="inlineStr">
        <is>
          <t>Window | Fly Screen, 800mm Wide</t>
        </is>
      </c>
      <c r="F149" s="62" t="inlineStr">
        <is>
          <t>m2</t>
        </is>
      </c>
      <c r="G149" s="62" t="n">
        <v>1</v>
      </c>
      <c r="H149" s="62" t="inlineStr">
        <is>
          <t>calculated</t>
        </is>
      </c>
      <c r="I149" s="62" t="inlineStr">
        <is>
          <t>width(0.80m) × height(0.623m) × qty(2)</t>
        </is>
      </c>
      <c r="J149" s="62" t="inlineStr">
        <is>
          <t>framecad_panel_label_ocr: mark=WINDOW_LOUVRE_800 w=0.80m (block_name) h=0.623m (opening_schedule) qty=2</t>
        </is>
      </c>
      <c r="K149" s="62" t="inlineStr">
        <is>
          <t>0.80 × 0.623 × 2</t>
        </is>
      </c>
      <c r="L149" s="62" t="inlineStr">
        <is>
          <t>MEDIUM</t>
        </is>
      </c>
    </row>
    <row r="150">
      <c r="A150" s="62" t="inlineStr">
        <is>
          <t>D48</t>
        </is>
      </c>
      <c r="B150" s="62" t="inlineStr">
        <is>
          <t>50114</t>
        </is>
      </c>
      <c r="C150" s="62" t="inlineStr">
        <is>
          <t>50114 - Openings</t>
        </is>
      </c>
      <c r="D150" s="62" t="inlineStr">
        <is>
          <t>Fly Screen — WINDOW_LOUVRE_1800</t>
        </is>
      </c>
      <c r="E150" s="62" t="inlineStr">
        <is>
          <t>Window | Fly Screen, 1800mm Wide</t>
        </is>
      </c>
      <c r="F150" s="62" t="inlineStr">
        <is>
          <t>m2</t>
        </is>
      </c>
      <c r="G150" s="62" t="n">
        <v>1.39</v>
      </c>
      <c r="H150" s="62" t="inlineStr">
        <is>
          <t>calculated</t>
        </is>
      </c>
      <c r="I150" s="62" t="inlineStr">
        <is>
          <t>width(1.85m) × height(0.750m) × qty(1)</t>
        </is>
      </c>
      <c r="J150" s="62" t="inlineStr">
        <is>
          <t>dxf_blocks: mark=WINDOW_LOUVRE_1800 w=1.85m (block_name) h=0.750m (config_default=750mm) qty=1</t>
        </is>
      </c>
      <c r="K150" s="62" t="inlineStr">
        <is>
          <t>1.85 × 0.750 × 1</t>
        </is>
      </c>
      <c r="L150" s="62" t="inlineStr">
        <is>
          <t>LOW</t>
        </is>
      </c>
    </row>
    <row r="151">
      <c r="A151" s="62" t="inlineStr">
        <is>
          <t>D49</t>
        </is>
      </c>
      <c r="B151" s="62" t="inlineStr">
        <is>
          <t>50114</t>
        </is>
      </c>
      <c r="C151" s="62" t="inlineStr">
        <is>
          <t>50114 - Openings</t>
        </is>
      </c>
      <c r="D151" s="62" t="inlineStr">
        <is>
          <t>Door Closer — Hydraulic (main entrance)</t>
        </is>
      </c>
      <c r="E151" s="62" t="inlineStr">
        <is>
          <t>Door | Closer, Hydraulic</t>
        </is>
      </c>
      <c r="F151" s="62" t="inlineStr">
        <is>
          <t>nr</t>
        </is>
      </c>
      <c r="G151" s="62" t="n">
        <v>1</v>
      </c>
      <c r="H151" s="62" t="inlineStr">
        <is>
          <t>inferred</t>
        </is>
      </c>
      <c r="I151" s="62" t="inlineStr">
        <is>
          <t>entrance_door_count(1) — widest door mark(s) in pharmacy</t>
        </is>
      </c>
      <c r="J151" s="62" t="inlineStr">
        <is>
          <t>dxf_blocks: DOOR_90 (width≥850mm or DOOR_90)</t>
        </is>
      </c>
      <c r="K151" s="62" t="inlineStr">
        <is>
          <t>count of entrance-width doors</t>
        </is>
      </c>
      <c r="L151" s="62" t="inlineStr">
        <is>
          <t>MEDIUM</t>
        </is>
      </c>
    </row>
    <row r="152">
      <c r="A152" s="62" t="inlineStr">
        <is>
          <t>F02</t>
        </is>
      </c>
      <c r="B152" s="62" t="inlineStr">
        <is>
          <t>50114</t>
        </is>
      </c>
      <c r="C152" s="62" t="inlineStr">
        <is>
          <t>50114 - Openings</t>
        </is>
      </c>
      <c r="D152" s="62" t="inlineStr">
        <is>
          <t>Architrave — Door</t>
        </is>
      </c>
      <c r="E152" s="62" t="inlineStr">
        <is>
          <t>Timber Architrave | 12 x 75 x 2400mm Timber</t>
        </is>
      </c>
      <c r="F152" s="62" t="inlineStr">
        <is>
          <t>lm</t>
        </is>
      </c>
      <c r="G152" s="62" t="n">
        <v>36</v>
      </c>
      <c r="H152" s="62" t="inlineStr">
        <is>
          <t>calculated</t>
        </is>
      </c>
      <c r="I152" s="62" t="inlineStr">
        <is>
          <t>door_count × 6.0 lm/door = 6 × 6.0</t>
        </is>
      </c>
      <c r="J152" s="62" t="inlineStr">
        <is>
          <t>derived from door_count=6</t>
        </is>
      </c>
      <c r="K152" s="62" t="inlineStr">
        <is>
          <t>door_count × 6.0</t>
        </is>
      </c>
      <c r="L152" s="62" t="inlineStr">
        <is>
          <t>MEDIUM</t>
        </is>
      </c>
    </row>
    <row r="153">
      <c r="A153" s="62" t="inlineStr">
        <is>
          <t>F03</t>
        </is>
      </c>
      <c r="B153" s="62" t="inlineStr">
        <is>
          <t>50114</t>
        </is>
      </c>
      <c r="C153" s="62" t="inlineStr">
        <is>
          <t>50114 - Openings</t>
        </is>
      </c>
      <c r="D153" s="62" t="inlineStr">
        <is>
          <t>Architrave — Window</t>
        </is>
      </c>
      <c r="E153" s="62" t="inlineStr">
        <is>
          <t>Timber Architrave | 12 x 75 x 2400mm Timber</t>
        </is>
      </c>
      <c r="F153" s="62" t="inlineStr">
        <is>
          <t>lm</t>
        </is>
      </c>
      <c r="G153" s="62" t="n">
        <v>52.8</v>
      </c>
      <c r="H153" s="62" t="inlineStr">
        <is>
          <t>calculated</t>
        </is>
      </c>
      <c r="I153" s="62" t="inlineStr">
        <is>
          <t>window_count × 4.8 lm/window = 11 × 4.8</t>
        </is>
      </c>
      <c r="J153" s="62" t="inlineStr">
        <is>
          <t>derived from window_count=11</t>
        </is>
      </c>
      <c r="K153" s="62" t="inlineStr">
        <is>
          <t>window_count × 4.8</t>
        </is>
      </c>
      <c r="L153" s="62" t="inlineStr">
        <is>
          <t>MEDIUM</t>
        </is>
      </c>
    </row>
    <row r="154">
      <c r="A154" s="62" t="inlineStr">
        <is>
          <t>E01</t>
        </is>
      </c>
      <c r="B154" s="62" t="inlineStr">
        <is>
          <t>50115</t>
        </is>
      </c>
      <c r="C154" s="62" t="inlineStr">
        <is>
          <t>50115 - Internal Linings &amp; Ceilings</t>
        </is>
      </c>
      <c r="D154" s="62" t="inlineStr">
        <is>
          <t>External Wall Lining — FC Sheet (6mm, 1200×2700)</t>
        </is>
      </c>
      <c r="E154" s="62" t="inlineStr">
        <is>
          <t>External Lining | FC Sheet, 6mm, 1200 x 2700mm</t>
        </is>
      </c>
      <c r="F154" s="62" t="inlineStr">
        <is>
          <t>sheets</t>
        </is>
      </c>
      <c r="G154" s="62" t="n">
        <v>26</v>
      </c>
      <c r="H154" s="62" t="inlineStr">
        <is>
          <t>calculated</t>
        </is>
      </c>
      <c r="I154" s="62" t="inlineStr">
        <is>
          <t>ceil(ext_wall_area_net × 1.05 / 3.24)</t>
        </is>
      </c>
      <c r="J154" s="62" t="inlineStr">
        <is>
          <t>dxf_geometry: ext_wall_lm=38.40 m × h=2.4 m → gross=92.16 m² − openings=14.652 m² → net=77.51 m²</t>
        </is>
      </c>
      <c r="K154" s="62" t="inlineStr">
        <is>
          <t>ceil(77.51 × 1.05 / 3.24)</t>
        </is>
      </c>
      <c r="L154" s="62" t="inlineStr">
        <is>
          <t>MEDIUM</t>
        </is>
      </c>
    </row>
    <row r="155">
      <c r="A155" s="62" t="inlineStr">
        <is>
          <t>E02</t>
        </is>
      </c>
      <c r="B155" s="62" t="inlineStr">
        <is>
          <t>50115</t>
        </is>
      </c>
      <c r="C155" s="62" t="inlineStr">
        <is>
          <t>50115 - Internal Linings &amp; Ceilings</t>
        </is>
      </c>
      <c r="D155" s="62" t="inlineStr">
        <is>
          <t>External Wall Lining — FC Sheet Total Area (1200×2700mm)</t>
        </is>
      </c>
      <c r="E155" s="62" t="inlineStr">
        <is>
          <t>External Lining | FC Sheet, 6mm, 1200 x 2700mm</t>
        </is>
      </c>
      <c r="F155" s="62" t="inlineStr">
        <is>
          <t>each</t>
        </is>
      </c>
      <c r="G155" s="62" t="n">
        <v>26</v>
      </c>
      <c r="H155" s="62" t="inlineStr">
        <is>
          <t>calculated</t>
        </is>
      </c>
      <c r="I155" s="62" t="inlineStr">
        <is>
          <t>sheet_count(26) × sheet_area(3.24m²) — gross supply incl. waste</t>
        </is>
      </c>
      <c r="J155" s="62" t="inlineStr">
        <is>
          <t>dxf_geometry: ext_wall_area_net=77.51m² → 26 sheets × 3.24m²</t>
        </is>
      </c>
      <c r="K155" s="62" t="inlineStr">
        <is>
          <t>26 × 3.24</t>
        </is>
      </c>
      <c r="L155" s="62" t="inlineStr">
        <is>
          <t>MEDIUM</t>
        </is>
      </c>
    </row>
    <row r="156">
      <c r="A156" s="62" t="inlineStr">
        <is>
          <t>E03</t>
        </is>
      </c>
      <c r="B156" s="62" t="inlineStr">
        <is>
          <t>50115</t>
        </is>
      </c>
      <c r="C156" s="62" t="inlineStr">
        <is>
          <t>50115 - Internal Linings &amp; Ceilings</t>
        </is>
      </c>
      <c r="D156" s="62" t="inlineStr">
        <is>
          <t>External Wall Lining — FC Sheet Screws</t>
        </is>
      </c>
      <c r="E156" s="62" t="inlineStr">
        <is>
          <t>Fixing | FC Sheet Screw (External)</t>
        </is>
      </c>
      <c r="F156" s="62" t="inlineStr">
        <is>
          <t>boxes</t>
        </is>
      </c>
      <c r="G156" s="62" t="n">
        <v>10</v>
      </c>
      <c r="H156" s="62" t="inlineStr">
        <is>
          <t>calculated</t>
        </is>
      </c>
      <c r="I156" s="62" t="inlineStr">
        <is>
          <t>ceil(wall_area_net × 25 screws/m² / 200/box)</t>
        </is>
      </c>
      <c r="J156" s="62" t="inlineStr">
        <is>
          <t>derived from ext_wall_area_net=77.51 m²</t>
        </is>
      </c>
      <c r="K156" s="62" t="inlineStr">
        <is>
          <t>ceil(area × 25 / 200)</t>
        </is>
      </c>
      <c r="L156" s="62" t="inlineStr">
        <is>
          <t>LOW</t>
        </is>
      </c>
    </row>
    <row r="157">
      <c r="A157" s="62" t="inlineStr">
        <is>
          <t>E04</t>
        </is>
      </c>
      <c r="B157" s="62" t="inlineStr">
        <is>
          <t>50115</t>
        </is>
      </c>
      <c r="C157" s="62" t="inlineStr">
        <is>
          <t>50115 - Internal Linings &amp; Ceilings</t>
        </is>
      </c>
      <c r="D157" s="62" t="inlineStr">
        <is>
          <t>External Wall Lining — FC Sheet Adhesive</t>
        </is>
      </c>
      <c r="E157" s="62" t="inlineStr">
        <is>
          <t>External Lining | FC Sheet Adhesive</t>
        </is>
      </c>
      <c r="F157" s="62" t="inlineStr">
        <is>
          <t>tubes</t>
        </is>
      </c>
      <c r="G157" s="62" t="n">
        <v>32</v>
      </c>
      <c r="H157" s="62" t="inlineStr">
        <is>
          <t>calculated</t>
        </is>
      </c>
      <c r="I157" s="62" t="inlineStr">
        <is>
          <t>ceil(wall_area_net / 2.5 m² per tube)</t>
        </is>
      </c>
      <c r="J157" s="62" t="inlineStr">
        <is>
          <t>derived from ext_wall_area_net=77.51 m²</t>
        </is>
      </c>
      <c r="K157" s="62" t="inlineStr">
        <is>
          <t>ceil(area / 2.5)</t>
        </is>
      </c>
      <c r="L157" s="62" t="inlineStr">
        <is>
          <t>LOW</t>
        </is>
      </c>
    </row>
    <row r="158">
      <c r="A158" s="62" t="inlineStr">
        <is>
          <t>E05</t>
        </is>
      </c>
      <c r="B158" s="62" t="inlineStr">
        <is>
          <t>50115</t>
        </is>
      </c>
      <c r="C158" s="62" t="inlineStr">
        <is>
          <t>50115 - Internal Linings &amp; Ceilings</t>
        </is>
      </c>
      <c r="D158" s="62" t="inlineStr">
        <is>
          <t>External Wall Lining — FC Sheet Joiner Strip</t>
        </is>
      </c>
      <c r="E158" s="62" t="inlineStr">
        <is>
          <t>External Lining | PVC H Joiner</t>
        </is>
      </c>
      <c r="F158" s="62" t="inlineStr">
        <is>
          <t>lm</t>
        </is>
      </c>
      <c r="G158" s="62" t="n">
        <v>76.8</v>
      </c>
      <c r="H158" s="62" t="inlineStr">
        <is>
          <t>calculated</t>
        </is>
      </c>
      <c r="I158" s="62" t="inlineStr">
        <is>
          <t>ceil(ext_lm(38.4) / 1.2m sheet_w) × h(2.4m)</t>
        </is>
      </c>
      <c r="J158" s="62" t="inlineStr">
        <is>
          <t>dxf_geometry: ext_wall_lm=38.40 m</t>
        </is>
      </c>
      <c r="K158" s="62" t="inlineStr">
        <is>
          <t>ceil(38.4/1.2) × 2.4</t>
        </is>
      </c>
      <c r="L158" s="62" t="inlineStr">
        <is>
          <t>MEDIUM</t>
        </is>
      </c>
    </row>
    <row r="159">
      <c r="A159" s="62" t="inlineStr">
        <is>
          <t>E06</t>
        </is>
      </c>
      <c r="B159" s="62" t="inlineStr">
        <is>
          <t>50115</t>
        </is>
      </c>
      <c r="C159" s="62" t="inlineStr">
        <is>
          <t>50115 - Internal Linings &amp; Ceilings</t>
        </is>
      </c>
      <c r="D159" s="62" t="inlineStr">
        <is>
          <t>Internal Wall Lining — FC Sheet (6mm, 1200×2700)</t>
        </is>
      </c>
      <c r="E159" s="62" t="inlineStr">
        <is>
          <t>Internal Lining | FC Sheet, 6mm, 1200 x 2700mm</t>
        </is>
      </c>
      <c r="F159" s="62" t="inlineStr">
        <is>
          <t>sheets</t>
        </is>
      </c>
      <c r="G159" s="62" t="n">
        <v>41</v>
      </c>
      <c r="H159" s="62" t="inlineStr">
        <is>
          <t>calculated</t>
        </is>
      </c>
      <c r="I159" s="62" t="inlineStr">
        <is>
          <t>ceil(int_wall_area_net × 1.05 / 3.24)</t>
        </is>
      </c>
      <c r="J159" s="62" t="inlineStr">
        <is>
          <t>dxf_geometry: int_wall_lm=29.40 m × h=2.4 m × 2 faces = 141.12 m² − int_doors=16.320 m² → net=124.80 m²</t>
        </is>
      </c>
      <c r="K159" s="62" t="inlineStr">
        <is>
          <t>ceil(124.80 × 1.05 / 3.24)</t>
        </is>
      </c>
      <c r="L159" s="62" t="inlineStr">
        <is>
          <t>HIGH</t>
        </is>
      </c>
    </row>
    <row r="160">
      <c r="A160" s="62" t="inlineStr">
        <is>
          <t>E07</t>
        </is>
      </c>
      <c r="B160" s="62" t="inlineStr">
        <is>
          <t>50115</t>
        </is>
      </c>
      <c r="C160" s="62" t="inlineStr">
        <is>
          <t>50115 - Internal Linings &amp; Ceilings</t>
        </is>
      </c>
      <c r="D160" s="62" t="inlineStr">
        <is>
          <t>Internal Wall Lining — FC Sheet Total Area (1200×2700mm)</t>
        </is>
      </c>
      <c r="E160" s="62" t="inlineStr">
        <is>
          <t>Internal Lining | FC Sheet, 6mm, 1200 x 2700mm</t>
        </is>
      </c>
      <c r="F160" s="62" t="inlineStr">
        <is>
          <t>each</t>
        </is>
      </c>
      <c r="G160" s="62" t="n">
        <v>41</v>
      </c>
      <c r="H160" s="62" t="inlineStr">
        <is>
          <t>calculated</t>
        </is>
      </c>
      <c r="I160" s="62" t="inlineStr">
        <is>
          <t>sheet_count(41) × sheet_area(3.24m²) — gross supply incl. waste</t>
        </is>
      </c>
      <c r="J160" s="62" t="inlineStr">
        <is>
          <t>dxf_geometry: int_wall_area_both_net=124.80m² → 41 sheets × 3.24m²</t>
        </is>
      </c>
      <c r="K160" s="62" t="inlineStr">
        <is>
          <t>41 × 3.24</t>
        </is>
      </c>
      <c r="L160" s="62" t="inlineStr">
        <is>
          <t>HIGH</t>
        </is>
      </c>
    </row>
    <row r="161">
      <c r="A161" s="62" t="inlineStr">
        <is>
          <t>E08</t>
        </is>
      </c>
      <c r="B161" s="62" t="inlineStr">
        <is>
          <t>50115</t>
        </is>
      </c>
      <c r="C161" s="62" t="inlineStr">
        <is>
          <t>50115 - Internal Linings &amp; Ceilings</t>
        </is>
      </c>
      <c r="D161" s="62" t="inlineStr">
        <is>
          <t>Internal Wall Lining — FC Sheet Screws</t>
        </is>
      </c>
      <c r="E161" s="62" t="inlineStr">
        <is>
          <t>Fixing | FC Sheet Screw (Internal)</t>
        </is>
      </c>
      <c r="F161" s="62" t="inlineStr">
        <is>
          <t>boxes</t>
        </is>
      </c>
      <c r="G161" s="62" t="n">
        <v>16</v>
      </c>
      <c r="H161" s="62" t="inlineStr">
        <is>
          <t>calculated</t>
        </is>
      </c>
      <c r="I161" s="62" t="inlineStr">
        <is>
          <t>ceil(both_face_area_net × 25 screws/m² / 200/box)</t>
        </is>
      </c>
      <c r="J161" s="62" t="inlineStr">
        <is>
          <t>derived from int_wall_area_both_net=124.80 m²</t>
        </is>
      </c>
      <c r="K161" s="62" t="inlineStr">
        <is>
          <t>ceil(area × 25 / 200)</t>
        </is>
      </c>
      <c r="L161" s="62" t="inlineStr">
        <is>
          <t>LOW</t>
        </is>
      </c>
    </row>
    <row r="162">
      <c r="A162" s="62" t="inlineStr">
        <is>
          <t>E09</t>
        </is>
      </c>
      <c r="B162" s="62" t="inlineStr">
        <is>
          <t>50115</t>
        </is>
      </c>
      <c r="C162" s="62" t="inlineStr">
        <is>
          <t>50115 - Internal Linings &amp; Ceilings</t>
        </is>
      </c>
      <c r="D162" s="62" t="inlineStr">
        <is>
          <t>Internal Wall Lining — FC Sheet Adhesive</t>
        </is>
      </c>
      <c r="E162" s="62" t="inlineStr">
        <is>
          <t>Internal Lining | FC Sheet Adhesive</t>
        </is>
      </c>
      <c r="F162" s="62" t="inlineStr">
        <is>
          <t>tubes</t>
        </is>
      </c>
      <c r="G162" s="62" t="n">
        <v>50</v>
      </c>
      <c r="H162" s="62" t="inlineStr">
        <is>
          <t>calculated</t>
        </is>
      </c>
      <c r="I162" s="62" t="inlineStr">
        <is>
          <t>ceil(both_face_area_net / 2.5 m² per tube)</t>
        </is>
      </c>
      <c r="J162" s="62" t="inlineStr">
        <is>
          <t>derived from int_wall_area_both_net=124.80 m²</t>
        </is>
      </c>
      <c r="K162" s="62" t="inlineStr">
        <is>
          <t>ceil(area / 2.5)</t>
        </is>
      </c>
      <c r="L162" s="62" t="inlineStr">
        <is>
          <t>LOW</t>
        </is>
      </c>
    </row>
    <row r="163">
      <c r="A163" s="62" t="inlineStr">
        <is>
          <t>E10</t>
        </is>
      </c>
      <c r="B163" s="62" t="inlineStr">
        <is>
          <t>50115</t>
        </is>
      </c>
      <c r="C163" s="62" t="inlineStr">
        <is>
          <t>50115 - Internal Linings &amp; Ceilings</t>
        </is>
      </c>
      <c r="D163" s="62" t="inlineStr">
        <is>
          <t>Internal Wall Lining — FC Sheet Joiner Strip</t>
        </is>
      </c>
      <c r="E163" s="62" t="inlineStr">
        <is>
          <t>Internal Lining Accessory | PVC H Joiner</t>
        </is>
      </c>
      <c r="F163" s="62" t="inlineStr">
        <is>
          <t>lm</t>
        </is>
      </c>
      <c r="G163" s="62" t="n">
        <v>117.6</v>
      </c>
      <c r="H163" s="62" t="inlineStr">
        <is>
          <t>calculated</t>
        </is>
      </c>
      <c r="I163" s="62" t="inlineStr">
        <is>
          <t>ceil(face_lm / 1.2) × h = ceil(58.8/1.2) × 2.4</t>
        </is>
      </c>
      <c r="J163" s="62" t="inlineStr">
        <is>
          <t>dxf_geometry: int_wall_lm=29.40 m × 2 faces = 58.8 lm</t>
        </is>
      </c>
      <c r="K163" s="62" t="inlineStr">
        <is>
          <t>ceil(58.8/1.2) × 2.4</t>
        </is>
      </c>
      <c r="L163" s="62" t="inlineStr">
        <is>
          <t>LOW</t>
        </is>
      </c>
    </row>
    <row r="164">
      <c r="A164" s="62" t="inlineStr">
        <is>
          <t>E11</t>
        </is>
      </c>
      <c r="B164" s="62" t="inlineStr">
        <is>
          <t>50115</t>
        </is>
      </c>
      <c r="C164" s="62" t="inlineStr">
        <is>
          <t>50115 - Internal Linings &amp; Ceilings</t>
        </is>
      </c>
      <c r="D164" s="62" t="inlineStr">
        <is>
          <t>Wet Area Wall Lining — Waterproof Board / FC</t>
        </is>
      </c>
      <c r="E164" s="62" t="inlineStr">
        <is>
          <t>Internal Lining | Waterproof Board / FC, Wet Area</t>
        </is>
      </c>
      <c r="F164" s="62" t="inlineStr">
        <is>
          <t>sheets</t>
        </is>
      </c>
      <c r="G164" s="62" t="n">
        <v>7</v>
      </c>
      <c r="H164" s="62" t="inlineStr">
        <is>
          <t>inferred</t>
        </is>
      </c>
      <c r="I164" s="62" t="inlineStr">
        <is>
          <t>ceil(wet_room_wall_area × 1.05 / 3.24)</t>
        </is>
      </c>
      <c r="J164" s="62" t="inlineStr">
        <is>
          <t>spaces=['Toilet']: total_wet_wall_area≈19.68 m² [Toilet: perim=8.20 m (config)]</t>
        </is>
      </c>
      <c r="K164" s="62" t="inlineStr">
        <is>
          <t>sum(space.perimeter_m × h) → ceil(×waste/sheet_area)</t>
        </is>
      </c>
      <c r="L164" s="62" t="inlineStr">
        <is>
          <t>LOW</t>
        </is>
      </c>
    </row>
    <row r="165">
      <c r="A165" s="62" t="inlineStr">
        <is>
          <t>E12</t>
        </is>
      </c>
      <c r="B165" s="62" t="inlineStr">
        <is>
          <t>50115</t>
        </is>
      </c>
      <c r="C165" s="62" t="inlineStr">
        <is>
          <t>50115 - Internal Linings &amp; Ceilings</t>
        </is>
      </c>
      <c r="D165" s="62" t="inlineStr">
        <is>
          <t>Wet Area Wall Lining — FC Sheet Total Area (1200×2700mm)</t>
        </is>
      </c>
      <c r="E165" s="62" t="inlineStr">
        <is>
          <t>Internal Lining | Wet Area Board, Total Area (m²)</t>
        </is>
      </c>
      <c r="F165" s="62" t="inlineStr">
        <is>
          <t>each</t>
        </is>
      </c>
      <c r="G165" s="62" t="n">
        <v>7</v>
      </c>
      <c r="H165" s="62" t="inlineStr">
        <is>
          <t>inferred</t>
        </is>
      </c>
      <c r="I165" s="62" t="inlineStr">
        <is>
          <t>sheet_count(7) × sheet_area(3.24m²) — gross supply incl. waste</t>
        </is>
      </c>
      <c r="J165" s="62" t="inlineStr">
        <is>
          <t>spaces=['Toilet']: wet_wall_area≈19.68m² → 7 sheets × 3.24m²</t>
        </is>
      </c>
      <c r="K165" s="62" t="inlineStr">
        <is>
          <t>7 × 3.24</t>
        </is>
      </c>
      <c r="L165" s="62" t="inlineStr">
        <is>
          <t>LOW</t>
        </is>
      </c>
    </row>
    <row r="166">
      <c r="A166" s="62" t="inlineStr">
        <is>
          <t>E13</t>
        </is>
      </c>
      <c r="B166" s="62" t="inlineStr">
        <is>
          <t>50115</t>
        </is>
      </c>
      <c r="C166" s="62" t="inlineStr">
        <is>
          <t>50115 - Internal Linings &amp; Ceilings</t>
        </is>
      </c>
      <c r="D166" s="62" t="inlineStr">
        <is>
          <t>Wet Area Tile Adhesive (20kg bag)</t>
        </is>
      </c>
      <c r="E166" s="62" t="inlineStr">
        <is>
          <t>Wet Area Tile Adhesive (20kg bag)</t>
        </is>
      </c>
      <c r="F166" s="62" t="inlineStr">
        <is>
          <t>bags</t>
        </is>
      </c>
      <c r="G166" s="62" t="n">
        <v>5</v>
      </c>
      <c r="H166" s="62" t="inlineStr">
        <is>
          <t>calculated</t>
        </is>
      </c>
      <c r="I166" s="62" t="inlineStr">
        <is>
          <t>ceil(wet_wall_area(19.68) / 4 m² per bag)</t>
        </is>
      </c>
      <c r="J166" s="62" t="inlineStr">
        <is>
          <t>spaces=['Toilet']: wet_wall_area≈19.68 m²</t>
        </is>
      </c>
      <c r="K166" s="62" t="inlineStr">
        <is>
          <t>ceil(area / 4.0)</t>
        </is>
      </c>
      <c r="L166" s="62" t="inlineStr">
        <is>
          <t>LOW</t>
        </is>
      </c>
    </row>
    <row r="167">
      <c r="A167" s="62" t="inlineStr">
        <is>
          <t>E14</t>
        </is>
      </c>
      <c r="B167" s="62" t="inlineStr">
        <is>
          <t>50115</t>
        </is>
      </c>
      <c r="C167" s="62" t="inlineStr">
        <is>
          <t>50115 - Internal Linings &amp; Ceilings</t>
        </is>
      </c>
      <c r="D167" s="62" t="inlineStr">
        <is>
          <t>Wet Area Wall Tile Grout (3kg bag)</t>
        </is>
      </c>
      <c r="E167" s="62" t="inlineStr">
        <is>
          <t>Wet Area Wall Tile Grout (3kg bag)</t>
        </is>
      </c>
      <c r="F167" s="62" t="inlineStr">
        <is>
          <t>bags</t>
        </is>
      </c>
      <c r="G167" s="62" t="n">
        <v>4</v>
      </c>
      <c r="H167" s="62" t="inlineStr">
        <is>
          <t>calculated</t>
        </is>
      </c>
      <c r="I167" s="62" t="inlineStr">
        <is>
          <t>ceil(wet_wall_area(19.68) / 6 m² per bag)</t>
        </is>
      </c>
      <c r="J167" s="62" t="inlineStr">
        <is>
          <t>spaces=['Toilet']: wet_wall_area≈19.68 m²</t>
        </is>
      </c>
      <c r="K167" s="62" t="inlineStr">
        <is>
          <t>ceil(area / 6.0)</t>
        </is>
      </c>
      <c r="L167" s="62" t="inlineStr">
        <is>
          <t>LOW</t>
        </is>
      </c>
    </row>
    <row r="168">
      <c r="A168" s="62" t="inlineStr">
        <is>
          <t>E15</t>
        </is>
      </c>
      <c r="B168" s="62" t="inlineStr">
        <is>
          <t>50115</t>
        </is>
      </c>
      <c r="C168" s="62" t="inlineStr">
        <is>
          <t>50115 - Internal Linings &amp; Ceilings</t>
        </is>
      </c>
      <c r="D168" s="62" t="inlineStr">
        <is>
          <t>Wet Area Waterproof Membrane (floor + upstand)</t>
        </is>
      </c>
      <c r="E168" s="62" t="inlineStr">
        <is>
          <t>Wet Area Waterproof Membrane (floor + upstand)</t>
        </is>
      </c>
      <c r="F168" s="62" t="inlineStr">
        <is>
          <t>m2</t>
        </is>
      </c>
      <c r="G168" s="62" t="n">
        <v>6.14</v>
      </c>
      <c r="H168" s="62" t="inlineStr">
        <is>
          <t>inferred</t>
        </is>
      </c>
      <c r="I168" s="62" t="inlineStr">
        <is>
          <t>wet_floor_area(4.50) + perimeter×200mm upstand</t>
        </is>
      </c>
      <c r="J168" s="62" t="inlineStr">
        <is>
          <t>spaces=['Toilet']: wet_floor_area≈4.50 m²; perim≈8.20 m</t>
        </is>
      </c>
      <c r="K168" s="62" t="inlineStr">
        <is>
          <t>floor_area + (perim × 0.2m upstand)</t>
        </is>
      </c>
      <c r="L168" s="62" t="inlineStr">
        <is>
          <t>LOW</t>
        </is>
      </c>
    </row>
    <row r="169">
      <c r="A169" s="62" t="inlineStr">
        <is>
          <t>E16</t>
        </is>
      </c>
      <c r="B169" s="62" t="inlineStr">
        <is>
          <t>50115</t>
        </is>
      </c>
      <c r="C169" s="62" t="inlineStr">
        <is>
          <t>50115 - Internal Linings &amp; Ceilings</t>
        </is>
      </c>
      <c r="D169" s="62" t="inlineStr">
        <is>
          <t>Ceiling Lining — FC Sheet (6mm, 1200×2400)</t>
        </is>
      </c>
      <c r="E169" s="62" t="inlineStr">
        <is>
          <t>Ceiling Lining | FC Sheet, 6mm, 1200 x 2400mm</t>
        </is>
      </c>
      <c r="F169" s="62" t="inlineStr">
        <is>
          <t>sheets</t>
        </is>
      </c>
      <c r="G169" s="62" t="n">
        <v>18</v>
      </c>
      <c r="H169" s="62" t="inlineStr">
        <is>
          <t>calculated</t>
        </is>
      </c>
      <c r="I169" s="62" t="inlineStr">
        <is>
          <t>ceil(ceiling_area × 1.05 / 2.88)</t>
        </is>
      </c>
      <c r="J169" s="62" t="inlineStr">
        <is>
          <t>dxf_geometry: ceiling_area=49.00 m²</t>
        </is>
      </c>
      <c r="K169" s="62" t="inlineStr">
        <is>
          <t>ceil(49.00 × 1.05 / 2.88)</t>
        </is>
      </c>
      <c r="L169" s="62" t="inlineStr">
        <is>
          <t>HIGH</t>
        </is>
      </c>
    </row>
    <row r="170">
      <c r="A170" s="62" t="inlineStr">
        <is>
          <t>E17</t>
        </is>
      </c>
      <c r="B170" s="62" t="inlineStr">
        <is>
          <t>50115</t>
        </is>
      </c>
      <c r="C170" s="62" t="inlineStr">
        <is>
          <t>50115 - Internal Linings &amp; Ceilings</t>
        </is>
      </c>
      <c r="D170" s="62" t="inlineStr">
        <is>
          <t>Ceiling Batten (LGS / timber)</t>
        </is>
      </c>
      <c r="E170" s="62" t="inlineStr">
        <is>
          <t>Ceiling Batten | G22</t>
        </is>
      </c>
      <c r="F170" s="62" t="inlineStr">
        <is>
          <t>lm</t>
        </is>
      </c>
      <c r="G170" s="62" t="n">
        <v>122.5</v>
      </c>
      <c r="H170" s="62" t="inlineStr">
        <is>
          <t>calculated</t>
        </is>
      </c>
      <c r="I170" s="62" t="inlineStr">
        <is>
          <t>ceiling_area / (400 mm spacing)</t>
        </is>
      </c>
      <c r="J170" s="62" t="inlineStr">
        <is>
          <t>dxf_geometry: ceiling_area=49.00 m²</t>
        </is>
      </c>
      <c r="K170" s="62" t="inlineStr">
        <is>
          <t>49.00 / 0.4</t>
        </is>
      </c>
      <c r="L170" s="62" t="inlineStr">
        <is>
          <t>MEDIUM</t>
        </is>
      </c>
    </row>
    <row r="171">
      <c r="A171" s="62" t="inlineStr">
        <is>
          <t>E18</t>
        </is>
      </c>
      <c r="B171" s="62" t="inlineStr">
        <is>
          <t>50115</t>
        </is>
      </c>
      <c r="C171" s="62" t="inlineStr">
        <is>
          <t>50115 - Internal Linings &amp; Ceilings</t>
        </is>
      </c>
      <c r="D171" s="62" t="inlineStr">
        <is>
          <t>Ceiling FC Sheet Screws</t>
        </is>
      </c>
      <c r="E171" s="62" t="inlineStr">
        <is>
          <t>Fixing | FC Sheet Screw (Ceiling)</t>
        </is>
      </c>
      <c r="F171" s="62" t="inlineStr">
        <is>
          <t>boxes</t>
        </is>
      </c>
      <c r="G171" s="62" t="n">
        <v>5</v>
      </c>
      <c r="H171" s="62" t="inlineStr">
        <is>
          <t>calculated</t>
        </is>
      </c>
      <c r="I171" s="62" t="inlineStr">
        <is>
          <t>ceil(ceil_area × 20 screws/m² / 200/box)</t>
        </is>
      </c>
      <c r="J171" s="62" t="inlineStr">
        <is>
          <t>derived from ceiling_area=49.00 m²</t>
        </is>
      </c>
      <c r="K171" s="62" t="inlineStr">
        <is>
          <t>ceil(area × 20 / 200)</t>
        </is>
      </c>
      <c r="L171" s="62" t="inlineStr">
        <is>
          <t>LOW</t>
        </is>
      </c>
    </row>
    <row r="172">
      <c r="A172" s="62" t="inlineStr">
        <is>
          <t>E19</t>
        </is>
      </c>
      <c r="B172" s="62" t="inlineStr">
        <is>
          <t>50115</t>
        </is>
      </c>
      <c r="C172" s="62" t="inlineStr">
        <is>
          <t>50115 - Internal Linings &amp; Ceilings</t>
        </is>
      </c>
      <c r="D172" s="62" t="inlineStr">
        <is>
          <t>Ceiling FC Sheet Adhesive / Joint Compound</t>
        </is>
      </c>
      <c r="E172" s="62" t="inlineStr">
        <is>
          <t>Ceiling Lining | FC Sheet Adhesive</t>
        </is>
      </c>
      <c r="F172" s="62" t="inlineStr">
        <is>
          <t>tubes</t>
        </is>
      </c>
      <c r="G172" s="62" t="n">
        <v>17</v>
      </c>
      <c r="H172" s="62" t="inlineStr">
        <is>
          <t>calculated</t>
        </is>
      </c>
      <c r="I172" s="62" t="inlineStr">
        <is>
          <t>ceil(ceiling_area / 3 m² per tube)</t>
        </is>
      </c>
      <c r="J172" s="62" t="inlineStr">
        <is>
          <t>derived from ceiling_area=49.00 m²</t>
        </is>
      </c>
      <c r="K172" s="62" t="inlineStr">
        <is>
          <t>ceil(area / 3.0)</t>
        </is>
      </c>
      <c r="L172" s="62" t="inlineStr">
        <is>
          <t>LOW</t>
        </is>
      </c>
    </row>
    <row r="173">
      <c r="A173" s="62" t="inlineStr">
        <is>
          <t>E20</t>
        </is>
      </c>
      <c r="B173" s="62" t="inlineStr">
        <is>
          <t>50115</t>
        </is>
      </c>
      <c r="C173" s="62" t="inlineStr">
        <is>
          <t>50115 - Internal Linings &amp; Ceilings</t>
        </is>
      </c>
      <c r="D173" s="62" t="inlineStr">
        <is>
          <t>Verandah Soffit Lining — FC Sheet (6mm, 1200×2400)</t>
        </is>
      </c>
      <c r="E173" s="62" t="inlineStr">
        <is>
          <t>Verandah Soffit Lining — FC Sheet (6mm, 1200×2400)</t>
        </is>
      </c>
      <c r="F173" s="62" t="inlineStr">
        <is>
          <t>sheets</t>
        </is>
      </c>
      <c r="G173" s="62" t="n">
        <v>8</v>
      </c>
      <c r="H173" s="62" t="inlineStr">
        <is>
          <t>calculated</t>
        </is>
      </c>
      <c r="I173" s="62" t="inlineStr">
        <is>
          <t>ceil(verandah_soffit_area × 1.05 / 2.88)</t>
        </is>
      </c>
      <c r="J173" s="62" t="inlineStr">
        <is>
          <t>dxf_geometry: verandah_area=21.60 m² (soffit = verandah deck area)</t>
        </is>
      </c>
      <c r="K173" s="62" t="inlineStr">
        <is>
          <t>ceil(21.60 × 1.05 / 2.88)</t>
        </is>
      </c>
      <c r="L173" s="62" t="inlineStr">
        <is>
          <t>HIGH</t>
        </is>
      </c>
    </row>
    <row r="174">
      <c r="A174" s="62" t="inlineStr">
        <is>
          <t>E21</t>
        </is>
      </c>
      <c r="B174" s="62" t="inlineStr">
        <is>
          <t>50115</t>
        </is>
      </c>
      <c r="C174" s="62" t="inlineStr">
        <is>
          <t>50115 - Internal Linings &amp; Ceilings</t>
        </is>
      </c>
      <c r="D174" s="62" t="inlineStr">
        <is>
          <t>Verandah Soffit Batten (LGS / timber)</t>
        </is>
      </c>
      <c r="E174" s="62" t="inlineStr">
        <is>
          <t>Verandah Soffit Batten (LGS / timber)</t>
        </is>
      </c>
      <c r="F174" s="62" t="inlineStr">
        <is>
          <t>lm</t>
        </is>
      </c>
      <c r="G174" s="62" t="n">
        <v>54</v>
      </c>
      <c r="H174" s="62" t="inlineStr">
        <is>
          <t>calculated</t>
        </is>
      </c>
      <c r="I174" s="62" t="inlineStr">
        <is>
          <t>verandah_soffit_area / (400 mm spacing)</t>
        </is>
      </c>
      <c r="J174" s="62" t="inlineStr">
        <is>
          <t>dxf_geometry: verandah_soffit_area=21.60 m²</t>
        </is>
      </c>
      <c r="K174" s="62" t="inlineStr">
        <is>
          <t>21.60 / 0.4</t>
        </is>
      </c>
      <c r="L174" s="62" t="inlineStr">
        <is>
          <t>MEDIUM</t>
        </is>
      </c>
    </row>
    <row r="175">
      <c r="A175" s="62" t="inlineStr">
        <is>
          <t>E22</t>
        </is>
      </c>
      <c r="B175" s="62" t="inlineStr">
        <is>
          <t>50115</t>
        </is>
      </c>
      <c r="C175" s="62" t="inlineStr">
        <is>
          <t>50115 - Internal Linings &amp; Ceilings</t>
        </is>
      </c>
      <c r="D175" s="62" t="inlineStr">
        <is>
          <t>FC Ceiling Sheet — Total Supply (ceiling + soffit)</t>
        </is>
      </c>
      <c r="E175" s="62" t="inlineStr">
        <is>
          <t>FC Ceiling Sheet — Total Supply (ceiling + soffit)</t>
        </is>
      </c>
      <c r="F175" s="62" t="inlineStr">
        <is>
          <t>sheets</t>
        </is>
      </c>
      <c r="G175" s="62" t="n">
        <v>26</v>
      </c>
      <c r="H175" s="62" t="inlineStr">
        <is>
          <t>calculated</t>
        </is>
      </c>
      <c r="I175" s="62" t="inlineStr">
        <is>
          <t>sum of ceiling + verandah soffit FC sheet counts</t>
        </is>
      </c>
      <c r="J175" s="62" t="inlineStr">
        <is>
          <t>derived: Ceiling Lining(18) + Verandah Soffit Lining(8) = 26</t>
        </is>
      </c>
      <c r="K175" s="62" t="inlineStr">
        <is>
          <t>sum(sheet_count: ceiling + soffit zones)</t>
        </is>
      </c>
      <c r="L175" s="62" t="inlineStr">
        <is>
          <t>MEDIUM</t>
        </is>
      </c>
    </row>
    <row r="176">
      <c r="A176" s="62" t="inlineStr">
        <is>
          <t>E23</t>
        </is>
      </c>
      <c r="B176" s="62" t="inlineStr">
        <is>
          <t>50115</t>
        </is>
      </c>
      <c r="C176" s="62" t="inlineStr">
        <is>
          <t>50115 - Internal Linings &amp; Ceilings</t>
        </is>
      </c>
      <c r="D176" s="62" t="inlineStr">
        <is>
          <t>Cornice / Ceiling Trim</t>
        </is>
      </c>
      <c r="E176" s="62" t="inlineStr">
        <is>
          <t>Timber Cornice | 25 x 25 x 2400mm Timber</t>
        </is>
      </c>
      <c r="F176" s="62" t="inlineStr">
        <is>
          <t>lm</t>
        </is>
      </c>
      <c r="G176" s="62" t="n">
        <v>38.4</v>
      </c>
      <c r="H176" s="62" t="inlineStr">
        <is>
          <t>calculated</t>
        </is>
      </c>
      <c r="I176" s="62">
        <f> ext_wall_perimeter (all internal faces of external walls)</f>
        <v/>
      </c>
      <c r="J176" s="62" t="inlineStr">
        <is>
          <t>dxf_geometry: ext_wall_perimeter=38.40 m</t>
        </is>
      </c>
      <c r="K176" s="62" t="inlineStr">
        <is>
          <t>cornice = ext_wall_perimeter</t>
        </is>
      </c>
      <c r="L176" s="62" t="inlineStr">
        <is>
          <t>MEDIUM</t>
        </is>
      </c>
    </row>
    <row r="177">
      <c r="A177" s="62" t="inlineStr">
        <is>
          <t>E24</t>
        </is>
      </c>
      <c r="B177" s="62" t="inlineStr">
        <is>
          <t>50115</t>
        </is>
      </c>
      <c r="C177" s="62" t="inlineStr">
        <is>
          <t>50115 - Internal Linings &amp; Ceilings</t>
        </is>
      </c>
      <c r="D177" s="62" t="inlineStr">
        <is>
          <t>Cornice End Cap / Internal Mitre Set</t>
        </is>
      </c>
      <c r="E177" s="62" t="inlineStr">
        <is>
          <t>Timber Cornice | End Cap / Mitre Set</t>
        </is>
      </c>
      <c r="F177" s="62" t="inlineStr">
        <is>
          <t>sets</t>
        </is>
      </c>
      <c r="G177" s="62" t="n">
        <v>4</v>
      </c>
      <c r="H177" s="62" t="inlineStr">
        <is>
          <t>inferred</t>
        </is>
      </c>
      <c r="I177" s="62" t="inlineStr">
        <is>
          <t>4 corner sets (rectangular plan — 4 internal cornice returns)</t>
        </is>
      </c>
      <c r="J177" s="62" t="inlineStr">
        <is>
          <t>dxf_geometry: rectangular footprint (4 internal corners assumed)</t>
        </is>
      </c>
      <c r="K177" s="62" t="inlineStr">
        <is>
          <t>rectangular plan → 4 corners</t>
        </is>
      </c>
      <c r="L177" s="62" t="inlineStr">
        <is>
          <t>LOW</t>
        </is>
      </c>
    </row>
    <row r="178">
      <c r="A178" s="62" t="inlineStr">
        <is>
          <t>E25</t>
        </is>
      </c>
      <c r="B178" s="62" t="inlineStr">
        <is>
          <t>50115</t>
        </is>
      </c>
      <c r="C178" s="62" t="inlineStr">
        <is>
          <t>50115 - Internal Linings &amp; Ceilings</t>
        </is>
      </c>
      <c r="D178" s="62" t="inlineStr">
        <is>
          <t>FC Sheet — Total Supply (all lining zones combined)</t>
        </is>
      </c>
      <c r="E178" s="62" t="inlineStr">
        <is>
          <t>FC Sheet — Total Supply (all lining zones combined)</t>
        </is>
      </c>
      <c r="F178" s="62" t="inlineStr">
        <is>
          <t>sheets</t>
        </is>
      </c>
      <c r="G178" s="62" t="n">
        <v>93</v>
      </c>
      <c r="H178" s="62" t="inlineStr">
        <is>
          <t>calculated</t>
        </is>
      </c>
      <c r="I178" s="62" t="inlineStr">
        <is>
          <t>sum of all FC sheet rows across ext_wall + int_wall + wet_area + ceiling + verandah_soffit zones</t>
        </is>
      </c>
      <c r="J178" s="62" t="inlineStr">
        <is>
          <t>derived: External Wall Lining(26) + Internal Wall Lining(41) + Ceiling Lining(18) + Verandah Soffit Lining(8) = 93</t>
        </is>
      </c>
      <c r="K178" s="62" t="inlineStr">
        <is>
          <t>sum(sheet_count per zone)</t>
        </is>
      </c>
      <c r="L178" s="62" t="inlineStr">
        <is>
          <t>MEDIUM</t>
        </is>
      </c>
    </row>
    <row r="179">
      <c r="A179" s="62" t="inlineStr">
        <is>
          <t>I01</t>
        </is>
      </c>
      <c r="B179" s="62" t="inlineStr">
        <is>
          <t>50117</t>
        </is>
      </c>
      <c r="C179" s="62" t="inlineStr">
        <is>
          <t>50117 - Services (Hydraulics — Partial)</t>
        </is>
      </c>
      <c r="D179" s="62" t="inlineStr">
        <is>
          <t>Hand Basin (dispensary)</t>
        </is>
      </c>
      <c r="E179" s="62" t="inlineStr">
        <is>
          <t>Hand Basin — Supply &amp; Fix</t>
        </is>
      </c>
      <c r="F179" s="62" t="inlineStr">
        <is>
          <t>nr</t>
        </is>
      </c>
      <c r="G179" s="62" t="n">
        <v>1</v>
      </c>
      <c r="H179" s="62" t="inlineStr">
        <is>
          <t>inferred</t>
        </is>
      </c>
      <c r="I179" s="62" t="inlineStr">
        <is>
          <t>room_template:pharmacy</t>
        </is>
      </c>
      <c r="J179" s="62" t="inlineStr">
        <is>
          <t>room_schedule: Dispensary (type=pharmacy)</t>
        </is>
      </c>
      <c r="K179" s="62" t="inlineStr">
        <is>
          <t>room_template:pharmacy → Hand Basin (dispensary)</t>
        </is>
      </c>
      <c r="L179" s="62" t="inlineStr">
        <is>
          <t>LOW</t>
        </is>
      </c>
    </row>
    <row r="180">
      <c r="A180" s="62" t="inlineStr">
        <is>
          <t>I02</t>
        </is>
      </c>
      <c r="B180" s="62" t="inlineStr">
        <is>
          <t>50117</t>
        </is>
      </c>
      <c r="C180" s="62" t="inlineStr">
        <is>
          <t>50117 - Services (Hydraulics — Partial)</t>
        </is>
      </c>
      <c r="D180" s="62" t="inlineStr">
        <is>
          <t>Tapware (basin)</t>
        </is>
      </c>
      <c r="E180" s="62" t="inlineStr">
        <is>
          <t>Tapware — Supply &amp; Fix</t>
        </is>
      </c>
      <c r="F180" s="62" t="inlineStr">
        <is>
          <t>set</t>
        </is>
      </c>
      <c r="G180" s="62" t="n">
        <v>1</v>
      </c>
      <c r="H180" s="62" t="inlineStr">
        <is>
          <t>inferred</t>
        </is>
      </c>
      <c r="I180" s="62" t="inlineStr">
        <is>
          <t>room_template:pharmacy</t>
        </is>
      </c>
      <c r="J180" s="62" t="inlineStr">
        <is>
          <t>room_schedule: Dispensary (type=pharmacy)</t>
        </is>
      </c>
      <c r="K180" s="62" t="inlineStr">
        <is>
          <t>room_template:pharmacy → Tapware (basin)</t>
        </is>
      </c>
      <c r="L180" s="62" t="inlineStr">
        <is>
          <t>LOW</t>
        </is>
      </c>
    </row>
    <row r="181">
      <c r="A181" s="62" t="inlineStr">
        <is>
          <t>I03</t>
        </is>
      </c>
      <c r="B181" s="62" t="inlineStr">
        <is>
          <t>50117</t>
        </is>
      </c>
      <c r="C181" s="62" t="inlineStr">
        <is>
          <t>50117 - Services (Hydraulics — Partial)</t>
        </is>
      </c>
      <c r="D181" s="62" t="inlineStr">
        <is>
          <t>Cold Room / Refrigeration Allowance</t>
        </is>
      </c>
      <c r="E181" s="62" t="inlineStr">
        <is>
          <t>Services | Cold Room / Refrigeration (PLACEHOLDER)</t>
        </is>
      </c>
      <c r="F181" s="62" t="inlineStr">
        <is>
          <t>item</t>
        </is>
      </c>
      <c r="G181" s="62" t="n">
        <v>1</v>
      </c>
      <c r="H181" s="62" t="inlineStr">
        <is>
          <t>inferred</t>
        </is>
      </c>
      <c r="I181" s="62" t="inlineStr">
        <is>
          <t>room_template:pharmacy</t>
        </is>
      </c>
      <c r="J181" s="62" t="inlineStr">
        <is>
          <t>room_schedule: Dispensary (type=pharmacy)</t>
        </is>
      </c>
      <c r="K181" s="62" t="inlineStr">
        <is>
          <t>room_template:pharmacy → Cold Room / Refrigeration Allowance</t>
        </is>
      </c>
      <c r="L181" s="62" t="inlineStr">
        <is>
          <t>LOW</t>
        </is>
      </c>
    </row>
    <row r="182">
      <c r="A182" s="62" t="inlineStr">
        <is>
          <t>I04</t>
        </is>
      </c>
      <c r="B182" s="62" t="inlineStr">
        <is>
          <t>50117</t>
        </is>
      </c>
      <c r="C182" s="62" t="inlineStr">
        <is>
          <t>50117 - Services (Hydraulics — Partial)</t>
        </is>
      </c>
      <c r="D182" s="62" t="inlineStr">
        <is>
          <t>Builder's Works — Electrical (pharmacy)</t>
        </is>
      </c>
      <c r="E182" s="62" t="inlineStr">
        <is>
          <t>Services | Builder's Works, Electrical (Pharmacy)</t>
        </is>
      </c>
      <c r="F182" s="62" t="inlineStr">
        <is>
          <t>item</t>
        </is>
      </c>
      <c r="G182" s="62" t="n">
        <v>1</v>
      </c>
      <c r="H182" s="62" t="inlineStr">
        <is>
          <t>inferred</t>
        </is>
      </c>
      <c r="I182" s="62" t="inlineStr">
        <is>
          <t>room_template:pharmacy</t>
        </is>
      </c>
      <c r="J182" s="62" t="inlineStr">
        <is>
          <t>room_schedule: Dispensary (type=pharmacy)</t>
        </is>
      </c>
      <c r="K182" s="62" t="inlineStr">
        <is>
          <t>room_template:pharmacy → Builder's Works — Electrical (pharmacy)</t>
        </is>
      </c>
      <c r="L182" s="62" t="inlineStr">
        <is>
          <t>LOW</t>
        </is>
      </c>
    </row>
    <row r="183">
      <c r="A183" s="62" t="inlineStr">
        <is>
          <t>I05</t>
        </is>
      </c>
      <c r="B183" s="62" t="inlineStr">
        <is>
          <t>50117</t>
        </is>
      </c>
      <c r="C183" s="62" t="inlineStr">
        <is>
          <t>50117 - Services (Hydraulics — Partial)</t>
        </is>
      </c>
      <c r="D183" s="62" t="inlineStr">
        <is>
          <t>Hand Basin (consulting room)</t>
        </is>
      </c>
      <c r="E183" s="62" t="inlineStr">
        <is>
          <t>Hand Basin — Supply &amp; Fix</t>
        </is>
      </c>
      <c r="F183" s="62" t="inlineStr">
        <is>
          <t>nr</t>
        </is>
      </c>
      <c r="G183" s="62" t="n">
        <v>1</v>
      </c>
      <c r="H183" s="62" t="inlineStr">
        <is>
          <t>inferred</t>
        </is>
      </c>
      <c r="I183" s="62" t="inlineStr">
        <is>
          <t>room_template:consulting</t>
        </is>
      </c>
      <c r="J183" s="62" t="inlineStr">
        <is>
          <t>room_schedule: Consultation Room (type=consulting)</t>
        </is>
      </c>
      <c r="K183" s="62" t="inlineStr">
        <is>
          <t>room_template:consulting → Hand Basin (consulting room)</t>
        </is>
      </c>
      <c r="L183" s="62" t="inlineStr">
        <is>
          <t>LOW</t>
        </is>
      </c>
    </row>
    <row r="184">
      <c r="A184" s="62" t="inlineStr">
        <is>
          <t>I06</t>
        </is>
      </c>
      <c r="B184" s="62" t="inlineStr">
        <is>
          <t>50117</t>
        </is>
      </c>
      <c r="C184" s="62" t="inlineStr">
        <is>
          <t>50117 - Services (Hydraulics — Partial)</t>
        </is>
      </c>
      <c r="D184" s="62" t="inlineStr">
        <is>
          <t>Tapware (basin)</t>
        </is>
      </c>
      <c r="E184" s="62" t="inlineStr">
        <is>
          <t>Tapware — Supply &amp; Fix</t>
        </is>
      </c>
      <c r="F184" s="62" t="inlineStr">
        <is>
          <t>set</t>
        </is>
      </c>
      <c r="G184" s="62" t="n">
        <v>1</v>
      </c>
      <c r="H184" s="62" t="inlineStr">
        <is>
          <t>inferred</t>
        </is>
      </c>
      <c r="I184" s="62" t="inlineStr">
        <is>
          <t>room_template:consulting</t>
        </is>
      </c>
      <c r="J184" s="62" t="inlineStr">
        <is>
          <t>room_schedule: Consultation Room (type=consulting)</t>
        </is>
      </c>
      <c r="K184" s="62" t="inlineStr">
        <is>
          <t>room_template:consulting → Tapware (basin)</t>
        </is>
      </c>
      <c r="L184" s="62" t="inlineStr">
        <is>
          <t>LOW</t>
        </is>
      </c>
    </row>
    <row r="185">
      <c r="A185" s="62" t="inlineStr">
        <is>
          <t>I07</t>
        </is>
      </c>
      <c r="B185" s="62" t="inlineStr">
        <is>
          <t>50117</t>
        </is>
      </c>
      <c r="C185" s="62" t="inlineStr">
        <is>
          <t>50117 - Services (Hydraulics — Partial)</t>
        </is>
      </c>
      <c r="D185" s="62" t="inlineStr">
        <is>
          <t>Builder's Works — Plumbing (consulting)</t>
        </is>
      </c>
      <c r="E185" s="62" t="inlineStr">
        <is>
          <t>Hydraulics | Builder's Works, Plumbing (Consulting)</t>
        </is>
      </c>
      <c r="F185" s="62" t="inlineStr">
        <is>
          <t>item</t>
        </is>
      </c>
      <c r="G185" s="62" t="n">
        <v>1</v>
      </c>
      <c r="H185" s="62" t="inlineStr">
        <is>
          <t>inferred</t>
        </is>
      </c>
      <c r="I185" s="62" t="inlineStr">
        <is>
          <t>room_template:consulting</t>
        </is>
      </c>
      <c r="J185" s="62" t="inlineStr">
        <is>
          <t>room_schedule: Consultation Room (type=consulting)</t>
        </is>
      </c>
      <c r="K185" s="62" t="inlineStr">
        <is>
          <t>room_template:consulting → Builder's Works — Plumbing (consulting)</t>
        </is>
      </c>
      <c r="L185" s="62" t="inlineStr">
        <is>
          <t>LOW</t>
        </is>
      </c>
    </row>
    <row r="186">
      <c r="A186" s="62" t="inlineStr">
        <is>
          <t>I08</t>
        </is>
      </c>
      <c r="B186" s="62" t="inlineStr">
        <is>
          <t>50117</t>
        </is>
      </c>
      <c r="C186" s="62" t="inlineStr">
        <is>
          <t>50117 - Services (Hydraulics — Partial)</t>
        </is>
      </c>
      <c r="D186" s="62" t="inlineStr">
        <is>
          <t>Builder's Works — Electrical (office)</t>
        </is>
      </c>
      <c r="E186" s="62" t="inlineStr">
        <is>
          <t>Services | Builder's Works, Electrical (Office)</t>
        </is>
      </c>
      <c r="F186" s="62" t="inlineStr">
        <is>
          <t>item</t>
        </is>
      </c>
      <c r="G186" s="62" t="n">
        <v>1</v>
      </c>
      <c r="H186" s="62" t="inlineStr">
        <is>
          <t>inferred</t>
        </is>
      </c>
      <c r="I186" s="62" t="inlineStr">
        <is>
          <t>room_template:office</t>
        </is>
      </c>
      <c r="J186" s="62" t="inlineStr">
        <is>
          <t>room_schedule: Staff Room (type=office)</t>
        </is>
      </c>
      <c r="K186" s="62" t="inlineStr">
        <is>
          <t>room_template:office → Builder's Works — Electrical (office)</t>
        </is>
      </c>
      <c r="L186" s="62" t="inlineStr">
        <is>
          <t>LOW</t>
        </is>
      </c>
    </row>
    <row r="187">
      <c r="A187" s="62" t="inlineStr">
        <is>
          <t>I09</t>
        </is>
      </c>
      <c r="B187" s="62" t="inlineStr">
        <is>
          <t>50117</t>
        </is>
      </c>
      <c r="C187" s="62" t="inlineStr">
        <is>
          <t>50117 - Services (Hydraulics — Partial)</t>
        </is>
      </c>
      <c r="D187" s="62" t="inlineStr">
        <is>
          <t>WC Pan (close-coupled)</t>
        </is>
      </c>
      <c r="E187" s="62" t="inlineStr">
        <is>
          <t>WC Pan — Supply &amp; Fix</t>
        </is>
      </c>
      <c r="F187" s="62" t="inlineStr">
        <is>
          <t>nr</t>
        </is>
      </c>
      <c r="G187" s="62" t="n">
        <v>1</v>
      </c>
      <c r="H187" s="62" t="inlineStr">
        <is>
          <t>inferred</t>
        </is>
      </c>
      <c r="I187" s="62" t="inlineStr">
        <is>
          <t>room_template:toilet</t>
        </is>
      </c>
      <c r="J187" s="62" t="inlineStr">
        <is>
          <t>room_schedule: Toilet (type=toilet)</t>
        </is>
      </c>
      <c r="K187" s="62" t="inlineStr">
        <is>
          <t>room_template:toilet → WC Pan (close-coupled)</t>
        </is>
      </c>
      <c r="L187" s="62" t="inlineStr">
        <is>
          <t>MEDIUM</t>
        </is>
      </c>
    </row>
    <row r="188">
      <c r="A188" s="62" t="inlineStr">
        <is>
          <t>I10</t>
        </is>
      </c>
      <c r="B188" s="62" t="inlineStr">
        <is>
          <t>50117</t>
        </is>
      </c>
      <c r="C188" s="62" t="inlineStr">
        <is>
          <t>50117 - Services (Hydraulics — Partial)</t>
        </is>
      </c>
      <c r="D188" s="62" t="inlineStr">
        <is>
          <t>WC Cistern</t>
        </is>
      </c>
      <c r="E188" s="62" t="inlineStr">
        <is>
          <t>WC Cistern — Supply &amp; Fix</t>
        </is>
      </c>
      <c r="F188" s="62" t="inlineStr">
        <is>
          <t>nr</t>
        </is>
      </c>
      <c r="G188" s="62" t="n">
        <v>1</v>
      </c>
      <c r="H188" s="62" t="inlineStr">
        <is>
          <t>inferred</t>
        </is>
      </c>
      <c r="I188" s="62" t="inlineStr">
        <is>
          <t>room_template:toilet</t>
        </is>
      </c>
      <c r="J188" s="62" t="inlineStr">
        <is>
          <t>room_schedule: Toilet (type=toilet)</t>
        </is>
      </c>
      <c r="K188" s="62" t="inlineStr">
        <is>
          <t>room_template:toilet → WC Cistern</t>
        </is>
      </c>
      <c r="L188" s="62" t="inlineStr">
        <is>
          <t>MEDIUM</t>
        </is>
      </c>
    </row>
    <row r="189">
      <c r="A189" s="62" t="inlineStr">
        <is>
          <t>I11</t>
        </is>
      </c>
      <c r="B189" s="62" t="inlineStr">
        <is>
          <t>50117</t>
        </is>
      </c>
      <c r="C189" s="62" t="inlineStr">
        <is>
          <t>50117 - Services (Hydraulics — Partial)</t>
        </is>
      </c>
      <c r="D189" s="62" t="inlineStr">
        <is>
          <t>Hand Basin</t>
        </is>
      </c>
      <c r="E189" s="62" t="inlineStr">
        <is>
          <t>Hand Basin — Supply &amp; Fix</t>
        </is>
      </c>
      <c r="F189" s="62" t="inlineStr">
        <is>
          <t>nr</t>
        </is>
      </c>
      <c r="G189" s="62" t="n">
        <v>1</v>
      </c>
      <c r="H189" s="62" t="inlineStr">
        <is>
          <t>inferred</t>
        </is>
      </c>
      <c r="I189" s="62" t="inlineStr">
        <is>
          <t>room_template:toilet</t>
        </is>
      </c>
      <c r="J189" s="62" t="inlineStr">
        <is>
          <t>room_schedule: Toilet (type=toilet)</t>
        </is>
      </c>
      <c r="K189" s="62" t="inlineStr">
        <is>
          <t>room_template:toilet → Hand Basin</t>
        </is>
      </c>
      <c r="L189" s="62" t="inlineStr">
        <is>
          <t>MEDIUM</t>
        </is>
      </c>
    </row>
    <row r="190">
      <c r="A190" s="62" t="inlineStr">
        <is>
          <t>I12</t>
        </is>
      </c>
      <c r="B190" s="62" t="inlineStr">
        <is>
          <t>50117</t>
        </is>
      </c>
      <c r="C190" s="62" t="inlineStr">
        <is>
          <t>50117 - Services (Hydraulics — Partial)</t>
        </is>
      </c>
      <c r="D190" s="62" t="inlineStr">
        <is>
          <t>Tapware (basin)</t>
        </is>
      </c>
      <c r="E190" s="62" t="inlineStr">
        <is>
          <t>Tapware — Supply &amp; Fix</t>
        </is>
      </c>
      <c r="F190" s="62" t="inlineStr">
        <is>
          <t>set</t>
        </is>
      </c>
      <c r="G190" s="62" t="n">
        <v>1</v>
      </c>
      <c r="H190" s="62" t="inlineStr">
        <is>
          <t>inferred</t>
        </is>
      </c>
      <c r="I190" s="62" t="inlineStr">
        <is>
          <t>room_template:toilet</t>
        </is>
      </c>
      <c r="J190" s="62" t="inlineStr">
        <is>
          <t>room_schedule: Toilet (type=toilet)</t>
        </is>
      </c>
      <c r="K190" s="62" t="inlineStr">
        <is>
          <t>room_template:toilet → Tapware (basin)</t>
        </is>
      </c>
      <c r="L190" s="62" t="inlineStr">
        <is>
          <t>MEDIUM</t>
        </is>
      </c>
    </row>
    <row r="191">
      <c r="A191" s="62" t="inlineStr">
        <is>
          <t>I13</t>
        </is>
      </c>
      <c r="B191" s="62" t="inlineStr">
        <is>
          <t>50117</t>
        </is>
      </c>
      <c r="C191" s="62" t="inlineStr">
        <is>
          <t>50117 - Services (Hydraulics — Partial)</t>
        </is>
      </c>
      <c r="D191" s="62" t="inlineStr">
        <is>
          <t>Mirror / Medicine Cabinet</t>
        </is>
      </c>
      <c r="E191" s="62" t="inlineStr">
        <is>
          <t>Mirror / Medicine Cabinet — Supply &amp; Fix</t>
        </is>
      </c>
      <c r="F191" s="62" t="inlineStr">
        <is>
          <t>nr</t>
        </is>
      </c>
      <c r="G191" s="62" t="n">
        <v>1</v>
      </c>
      <c r="H191" s="62" t="inlineStr">
        <is>
          <t>inferred</t>
        </is>
      </c>
      <c r="I191" s="62" t="inlineStr">
        <is>
          <t>room_template:toilet</t>
        </is>
      </c>
      <c r="J191" s="62" t="inlineStr">
        <is>
          <t>room_schedule: Toilet (type=toilet)</t>
        </is>
      </c>
      <c r="K191" s="62" t="inlineStr">
        <is>
          <t>room_template:toilet → Mirror / Medicine Cabinet</t>
        </is>
      </c>
      <c r="L191" s="62" t="inlineStr">
        <is>
          <t>LOW</t>
        </is>
      </c>
    </row>
    <row r="192">
      <c r="A192" s="62" t="inlineStr">
        <is>
          <t>I14</t>
        </is>
      </c>
      <c r="B192" s="62" t="inlineStr">
        <is>
          <t>50117</t>
        </is>
      </c>
      <c r="C192" s="62" t="inlineStr">
        <is>
          <t>50117 - Services (Hydraulics — Partial)</t>
        </is>
      </c>
      <c r="D192" s="62" t="inlineStr">
        <is>
          <t>Toilet Roll Holder</t>
        </is>
      </c>
      <c r="E192" s="62" t="inlineStr">
        <is>
          <t>Toilet Roll Holder — Supply &amp; Fix</t>
        </is>
      </c>
      <c r="F192" s="62" t="inlineStr">
        <is>
          <t>nr</t>
        </is>
      </c>
      <c r="G192" s="62" t="n">
        <v>1</v>
      </c>
      <c r="H192" s="62" t="inlineStr">
        <is>
          <t>inferred</t>
        </is>
      </c>
      <c r="I192" s="62" t="inlineStr">
        <is>
          <t>room_template:toilet</t>
        </is>
      </c>
      <c r="J192" s="62" t="inlineStr">
        <is>
          <t>room_schedule: Toilet (type=toilet)</t>
        </is>
      </c>
      <c r="K192" s="62" t="inlineStr">
        <is>
          <t>room_template:toilet → Toilet Roll Holder</t>
        </is>
      </c>
      <c r="L192" s="62" t="inlineStr">
        <is>
          <t>LOW</t>
        </is>
      </c>
    </row>
    <row r="193">
      <c r="A193" s="62" t="inlineStr">
        <is>
          <t>I15</t>
        </is>
      </c>
      <c r="B193" s="62" t="inlineStr">
        <is>
          <t>50117</t>
        </is>
      </c>
      <c r="C193" s="62" t="inlineStr">
        <is>
          <t>50117 - Services (Hydraulics — Partial)</t>
        </is>
      </c>
      <c r="D193" s="62" t="inlineStr">
        <is>
          <t>Hand Towel Rail / Dryer</t>
        </is>
      </c>
      <c r="E193" s="62" t="inlineStr">
        <is>
          <t>Hand Towel Rail — Supply &amp; Fix</t>
        </is>
      </c>
      <c r="F193" s="62" t="inlineStr">
        <is>
          <t>nr</t>
        </is>
      </c>
      <c r="G193" s="62" t="n">
        <v>1</v>
      </c>
      <c r="H193" s="62" t="inlineStr">
        <is>
          <t>inferred</t>
        </is>
      </c>
      <c r="I193" s="62" t="inlineStr">
        <is>
          <t>room_template:toilet</t>
        </is>
      </c>
      <c r="J193" s="62" t="inlineStr">
        <is>
          <t>room_schedule: Toilet (type=toilet)</t>
        </is>
      </c>
      <c r="K193" s="62" t="inlineStr">
        <is>
          <t>room_template:toilet → Hand Towel Rail / Dryer</t>
        </is>
      </c>
      <c r="L193" s="62" t="inlineStr">
        <is>
          <t>LOW</t>
        </is>
      </c>
    </row>
    <row r="194">
      <c r="A194" s="62" t="inlineStr">
        <is>
          <t>I16</t>
        </is>
      </c>
      <c r="B194" s="62" t="inlineStr">
        <is>
          <t>50117</t>
        </is>
      </c>
      <c r="C194" s="62" t="inlineStr">
        <is>
          <t>50117 - Services (Hydraulics — Partial)</t>
        </is>
      </c>
      <c r="D194" s="62" t="inlineStr">
        <is>
          <t>Floor Waste</t>
        </is>
      </c>
      <c r="E194" s="62" t="inlineStr">
        <is>
          <t>Hydraulics | Floor Waste</t>
        </is>
      </c>
      <c r="F194" s="62" t="inlineStr">
        <is>
          <t>nr</t>
        </is>
      </c>
      <c r="G194" s="62" t="n">
        <v>1</v>
      </c>
      <c r="H194" s="62" t="inlineStr">
        <is>
          <t>inferred</t>
        </is>
      </c>
      <c r="I194" s="62" t="inlineStr">
        <is>
          <t>room_template:toilet</t>
        </is>
      </c>
      <c r="J194" s="62" t="inlineStr">
        <is>
          <t>room_schedule: Toilet (type=toilet)</t>
        </is>
      </c>
      <c r="K194" s="62" t="inlineStr">
        <is>
          <t>room_template:toilet → Floor Waste</t>
        </is>
      </c>
      <c r="L194" s="62" t="inlineStr">
        <is>
          <t>MEDIUM</t>
        </is>
      </c>
    </row>
    <row r="195">
      <c r="A195" s="62" t="inlineStr">
        <is>
          <t>I17</t>
        </is>
      </c>
      <c r="B195" s="62" t="inlineStr">
        <is>
          <t>50117</t>
        </is>
      </c>
      <c r="C195" s="62" t="inlineStr">
        <is>
          <t>50117 - Services (Hydraulics — Partial)</t>
        </is>
      </c>
      <c r="D195" s="62" t="inlineStr">
        <is>
          <t>Builder's Works — Plumbing (toilet)</t>
        </is>
      </c>
      <c r="E195" s="62" t="inlineStr">
        <is>
          <t>Hydraulics | Builder's Works, Plumbing (Toilet)</t>
        </is>
      </c>
      <c r="F195" s="62" t="inlineStr">
        <is>
          <t>item</t>
        </is>
      </c>
      <c r="G195" s="62" t="n">
        <v>1</v>
      </c>
      <c r="H195" s="62" t="inlineStr">
        <is>
          <t>inferred</t>
        </is>
      </c>
      <c r="I195" s="62" t="inlineStr">
        <is>
          <t>room_template:toilet</t>
        </is>
      </c>
      <c r="J195" s="62" t="inlineStr">
        <is>
          <t>room_schedule: Toilet (type=toilet)</t>
        </is>
      </c>
      <c r="K195" s="62" t="inlineStr">
        <is>
          <t>room_template:toilet → Builder's Works — Plumbing (toilet)</t>
        </is>
      </c>
      <c r="L195" s="62" t="inlineStr">
        <is>
          <t>MEDIUM</t>
        </is>
      </c>
    </row>
    <row r="196">
      <c r="A196" s="62" t="inlineStr">
        <is>
          <t>I18</t>
        </is>
      </c>
      <c r="B196" s="62" t="inlineStr">
        <is>
          <t>50117</t>
        </is>
      </c>
      <c r="C196" s="62" t="inlineStr">
        <is>
          <t>50117 - Services (Hydraulics — Partial)</t>
        </is>
      </c>
      <c r="D196" s="62" t="inlineStr">
        <is>
          <t>Wet Area Wall Tiling — Toilet</t>
        </is>
      </c>
      <c r="E196" s="62" t="inlineStr">
        <is>
          <t>Internal Lining | Wall Tiles, Wet Area</t>
        </is>
      </c>
      <c r="F196" s="62" t="inlineStr">
        <is>
          <t>m2</t>
        </is>
      </c>
      <c r="G196" s="62" t="n">
        <v>11.16</v>
      </c>
      <c r="H196" s="62" t="inlineStr">
        <is>
          <t>inferred</t>
        </is>
      </c>
      <c r="I196" s="62" t="inlineStr">
        <is>
          <t>perim_est(6.2m) × tile_height(1.8m)</t>
        </is>
      </c>
      <c r="J196" s="62" t="inlineStr">
        <is>
          <t>room: Toilet (area=4.50 m², wet_area=True)</t>
        </is>
      </c>
      <c r="K196" s="62" t="inlineStr">
        <is>
          <t>perim × 1.8m splash zone</t>
        </is>
      </c>
      <c r="L196" s="62" t="inlineStr">
        <is>
          <t>LOW</t>
        </is>
      </c>
    </row>
    <row r="197">
      <c r="A197" s="62" t="inlineStr">
        <is>
          <t>I19</t>
        </is>
      </c>
      <c r="B197" s="62" t="inlineStr">
        <is>
          <t>50117</t>
        </is>
      </c>
      <c r="C197" s="62" t="inlineStr">
        <is>
          <t>50117 - Services (Hydraulics — Partial)</t>
        </is>
      </c>
      <c r="D197" s="62" t="inlineStr">
        <is>
          <t>Wet Area Waterproofing — Membrane</t>
        </is>
      </c>
      <c r="E197" s="62" t="inlineStr">
        <is>
          <t>Hydraulics | Wet Area Waterproofing Membrane</t>
        </is>
      </c>
      <c r="F197" s="62" t="inlineStr">
        <is>
          <t>m2</t>
        </is>
      </c>
      <c r="G197" s="62" t="n">
        <v>5.43</v>
      </c>
      <c r="H197" s="62" t="inlineStr">
        <is>
          <t>inferred</t>
        </is>
      </c>
      <c r="I197" s="62" t="inlineStr">
        <is>
          <t>room_area(4.50) + perim(6.2)×upstand(0.15m)</t>
        </is>
      </c>
      <c r="J197" s="62" t="inlineStr">
        <is>
          <t>room: Toilet (area=4.50 m²)</t>
        </is>
      </c>
      <c r="K197" s="62" t="inlineStr">
        <is>
          <t>room_area(4.50) + perim(6.2)×upstand(0.15m)</t>
        </is>
      </c>
      <c r="L197" s="62" t="inlineStr">
        <is>
          <t>LOW</t>
        </is>
      </c>
    </row>
    <row r="198">
      <c r="A198" s="62" t="inlineStr">
        <is>
          <t>I20</t>
        </is>
      </c>
      <c r="B198" s="62" t="inlineStr">
        <is>
          <t>50117</t>
        </is>
      </c>
      <c r="C198" s="62" t="inlineStr">
        <is>
          <t>50117 - Services (Hydraulics — Partial)</t>
        </is>
      </c>
      <c r="D198" s="62" t="inlineStr">
        <is>
          <t>Air Conditioning / Mechanical Ventilation — PLACEHOLDER</t>
        </is>
      </c>
      <c r="E198" s="62" t="inlineStr">
        <is>
          <t>Services | Air Conditioning / Mechanical (PLACEHOLDER)</t>
        </is>
      </c>
      <c r="F198" s="62" t="inlineStr">
        <is>
          <t>item</t>
        </is>
      </c>
      <c r="G198" s="62" t="n">
        <v>0</v>
      </c>
      <c r="H198" s="62" t="inlineStr">
        <is>
          <t>placeholder</t>
        </is>
      </c>
      <c r="I198" s="62" t="inlineStr">
        <is>
          <t>no mechanical schedule in source documents</t>
        </is>
      </c>
      <c r="J198" s="62" t="inlineStr">
        <is>
          <t>building_type=pharmacy: commercial building requires mechanical services</t>
        </is>
      </c>
      <c r="K198" s="62" t="inlineStr">
        <is>
          <t>manual review required</t>
        </is>
      </c>
      <c r="L198" s="62" t="inlineStr">
        <is>
          <t>LOW</t>
        </is>
      </c>
    </row>
    <row r="199">
      <c r="A199" s="62" t="inlineStr">
        <is>
          <t>I21</t>
        </is>
      </c>
      <c r="B199" s="62" t="inlineStr">
        <is>
          <t>50117</t>
        </is>
      </c>
      <c r="C199" s="62" t="inlineStr">
        <is>
          <t>50117 - Services (Hydraulics — Partial)</t>
        </is>
      </c>
      <c r="D199" s="62" t="inlineStr">
        <is>
          <t>Exhaust Fan — Wet Area (toilet / laundry)</t>
        </is>
      </c>
      <c r="E199" s="62" t="inlineStr">
        <is>
          <t>Electrical | Exhaust Fan</t>
        </is>
      </c>
      <c r="F199" s="62" t="inlineStr">
        <is>
          <t>item</t>
        </is>
      </c>
      <c r="G199" s="62" t="n">
        <v>0</v>
      </c>
      <c r="H199" s="62" t="inlineStr">
        <is>
          <t>placeholder</t>
        </is>
      </c>
      <c r="I199" s="62" t="inlineStr">
        <is>
          <t>no mechanical schedule — wet area rooms require exhaust ventilation</t>
        </is>
      </c>
      <c r="J199" s="62" t="inlineStr">
        <is>
          <t>building_type=pharmacy: wet area ventilation required by BCA F4.6</t>
        </is>
      </c>
      <c r="K199" s="62" t="inlineStr">
        <is>
          <t>manual review required</t>
        </is>
      </c>
      <c r="L199" s="62" t="inlineStr">
        <is>
          <t>LOW</t>
        </is>
      </c>
    </row>
    <row r="200">
      <c r="A200" s="62" t="inlineStr">
        <is>
          <t>I22</t>
        </is>
      </c>
      <c r="B200" s="62" t="inlineStr">
        <is>
          <t>50117</t>
        </is>
      </c>
      <c r="C200" s="62" t="inlineStr">
        <is>
          <t>50117 - Services (Hydraulics — Partial)</t>
        </is>
      </c>
      <c r="D200" s="62" t="inlineStr">
        <is>
          <t>Main Electrical Switchboard / Distribution Board</t>
        </is>
      </c>
      <c r="E200" s="62" t="inlineStr">
        <is>
          <t>Electrical | Main Switchboard / Distribution Board</t>
        </is>
      </c>
      <c r="F200" s="62" t="inlineStr">
        <is>
          <t>item</t>
        </is>
      </c>
      <c r="G200" s="62" t="n">
        <v>1</v>
      </c>
      <c r="H200" s="62" t="inlineStr">
        <is>
          <t>inferred</t>
        </is>
      </c>
      <c r="I200" s="62" t="inlineStr">
        <is>
          <t>whole_building_services template</t>
        </is>
      </c>
      <c r="J200" s="62" t="inlineStr">
        <is>
          <t>enclosed_floor_area=64.80 m² (space model, excludes verandah)</t>
        </is>
      </c>
      <c r="K200" s="62">
        <f> 1 per building</f>
        <v/>
      </c>
      <c r="L200" s="62" t="inlineStr">
        <is>
          <t>LOW</t>
        </is>
      </c>
    </row>
    <row r="201">
      <c r="A201" s="62" t="inlineStr">
        <is>
          <t>I23</t>
        </is>
      </c>
      <c r="B201" s="62" t="inlineStr">
        <is>
          <t>50117</t>
        </is>
      </c>
      <c r="C201" s="62" t="inlineStr">
        <is>
          <t>50117 - Services (Hydraulics — Partial)</t>
        </is>
      </c>
      <c r="D201" s="62" t="inlineStr">
        <is>
          <t>Main Water Meter / Stopcock</t>
        </is>
      </c>
      <c r="E201" s="62" t="inlineStr">
        <is>
          <t>Hydraulics | Main Water Meter / Stopcock</t>
        </is>
      </c>
      <c r="F201" s="62" t="inlineStr">
        <is>
          <t>item</t>
        </is>
      </c>
      <c r="G201" s="62" t="n">
        <v>1</v>
      </c>
      <c r="H201" s="62" t="inlineStr">
        <is>
          <t>inferred</t>
        </is>
      </c>
      <c r="I201" s="62" t="inlineStr">
        <is>
          <t>whole_building_services template</t>
        </is>
      </c>
      <c r="J201" s="62" t="inlineStr">
        <is>
          <t>enclosed_floor_area=64.80 m² (space model, excludes verandah)</t>
        </is>
      </c>
      <c r="K201" s="62">
        <f> 1 per building</f>
        <v/>
      </c>
      <c r="L201" s="62" t="inlineStr">
        <is>
          <t>LOW</t>
        </is>
      </c>
    </row>
    <row r="202">
      <c r="A202" s="62" t="inlineStr">
        <is>
          <t>I24</t>
        </is>
      </c>
      <c r="B202" s="62" t="inlineStr">
        <is>
          <t>50117</t>
        </is>
      </c>
      <c r="C202" s="62" t="inlineStr">
        <is>
          <t>50117 - Services (Hydraulics — Partial)</t>
        </is>
      </c>
      <c r="D202" s="62" t="inlineStr">
        <is>
          <t>Hot Water System (central)</t>
        </is>
      </c>
      <c r="E202" s="62" t="inlineStr">
        <is>
          <t>Hydraulics | Hot Water System</t>
        </is>
      </c>
      <c r="F202" s="62" t="inlineStr">
        <is>
          <t>item</t>
        </is>
      </c>
      <c r="G202" s="62" t="n">
        <v>1</v>
      </c>
      <c r="H202" s="62" t="inlineStr">
        <is>
          <t>inferred</t>
        </is>
      </c>
      <c r="I202" s="62" t="inlineStr">
        <is>
          <t>whole_building_services template</t>
        </is>
      </c>
      <c r="J202" s="62" t="inlineStr">
        <is>
          <t>enclosed_floor_area=64.80 m² (space model, excludes verandah)</t>
        </is>
      </c>
      <c r="K202" s="62">
        <f> 1 per building</f>
        <v/>
      </c>
      <c r="L202" s="62" t="inlineStr">
        <is>
          <t>LOW</t>
        </is>
      </c>
    </row>
    <row r="203">
      <c r="A203" s="62" t="inlineStr">
        <is>
          <t>I25</t>
        </is>
      </c>
      <c r="B203" s="62" t="inlineStr">
        <is>
          <t>50117</t>
        </is>
      </c>
      <c r="C203" s="62" t="inlineStr">
        <is>
          <t>50117 - Services (Hydraulics — Partial)</t>
        </is>
      </c>
      <c r="D203" s="62" t="inlineStr">
        <is>
          <t>Smoke Detectors (provisional)</t>
        </is>
      </c>
      <c r="E203" s="62" t="inlineStr">
        <is>
          <t>Electrical | Smoke Detector</t>
        </is>
      </c>
      <c r="F203" s="62" t="inlineStr">
        <is>
          <t>nr</t>
        </is>
      </c>
      <c r="G203" s="62" t="n">
        <v>2</v>
      </c>
      <c r="H203" s="62" t="inlineStr">
        <is>
          <t>inferred</t>
        </is>
      </c>
      <c r="I203" s="62" t="inlineStr">
        <is>
          <t>whole_building_services template</t>
        </is>
      </c>
      <c r="J203" s="62" t="inlineStr">
        <is>
          <t>enclosed_floor_area=64.80 m² (space model, excludes verandah)</t>
        </is>
      </c>
      <c r="K203" s="62" t="inlineStr">
        <is>
          <t>ceil(floor_area / 40)</t>
        </is>
      </c>
      <c r="L203" s="62" t="inlineStr">
        <is>
          <t>LOW</t>
        </is>
      </c>
    </row>
    <row r="204">
      <c r="A204" s="62" t="inlineStr">
        <is>
          <t>C01</t>
        </is>
      </c>
      <c r="B204" s="62" t="inlineStr">
        <is>
          <t>50118</t>
        </is>
      </c>
      <c r="C204" s="62" t="inlineStr">
        <is>
          <t>50118 - Insulation</t>
        </is>
      </c>
      <c r="D204" s="62" t="inlineStr">
        <is>
          <t>Insulation Batts — Roof Cavity (R2.5, between rafters)</t>
        </is>
      </c>
      <c r="E204" s="62" t="inlineStr">
        <is>
          <t>Insulation | Glasswool Batts, Roof Cavity</t>
        </is>
      </c>
      <c r="F204" s="62" t="inlineStr">
        <is>
          <t>m2</t>
        </is>
      </c>
      <c r="G204" s="62" t="n">
        <v>106.6</v>
      </c>
      <c r="H204" s="62" t="inlineStr">
        <is>
          <t>calculated</t>
        </is>
      </c>
      <c r="I204" s="62">
        <f> roof_area_m2 (batts in rafter cavity above ceiling)</f>
        <v/>
      </c>
      <c r="J204" s="62" t="inlineStr">
        <is>
          <t>dxf_geometry: roof_area=106.60 m²</t>
        </is>
      </c>
      <c r="K204" s="62">
        <f> roof_area</f>
        <v/>
      </c>
      <c r="L204" s="62" t="inlineStr">
        <is>
          <t>HIGH</t>
        </is>
      </c>
    </row>
    <row r="205">
      <c r="A205" s="62" t="inlineStr">
        <is>
          <t>C02</t>
        </is>
      </c>
      <c r="B205" s="62" t="inlineStr">
        <is>
          <t>50118</t>
        </is>
      </c>
      <c r="C205" s="62" t="inlineStr">
        <is>
          <t>50118 - Insulation</t>
        </is>
      </c>
      <c r="D205" s="62" t="inlineStr">
        <is>
          <t>Reflective Foil / Sisalation Underlay (roof)</t>
        </is>
      </c>
      <c r="E205" s="62" t="inlineStr">
        <is>
          <t>Reflective Foil / Sisalation Underlay (roof)</t>
        </is>
      </c>
      <c r="F205" s="62" t="inlineStr">
        <is>
          <t>m2</t>
        </is>
      </c>
      <c r="G205" s="62" t="n">
        <v>111.93</v>
      </c>
      <c r="H205" s="62" t="inlineStr">
        <is>
          <t>calculated</t>
        </is>
      </c>
      <c r="I205" s="62" t="inlineStr">
        <is>
          <t>roof_area(106.60) × 1.05 overlap allowance</t>
        </is>
      </c>
      <c r="J205" s="62" t="inlineStr">
        <is>
          <t>dxf_geometry: roof_area=106.60 m²</t>
        </is>
      </c>
      <c r="K205" s="62" t="inlineStr">
        <is>
          <t>106.60 × 1.05</t>
        </is>
      </c>
      <c r="L205" s="62" t="inlineStr">
        <is>
          <t>HIGH</t>
        </is>
      </c>
    </row>
    <row r="206">
      <c r="A206" s="62" t="inlineStr">
        <is>
          <t>C03</t>
        </is>
      </c>
      <c r="B206" s="62" t="inlineStr">
        <is>
          <t>50118</t>
        </is>
      </c>
      <c r="C206" s="62" t="inlineStr">
        <is>
          <t>50118 - Insulation</t>
        </is>
      </c>
      <c r="D206" s="62" t="inlineStr">
        <is>
          <t>Sisalation Lap Tape (50mm × 30m rolls)</t>
        </is>
      </c>
      <c r="E206" s="62" t="inlineStr">
        <is>
          <t>Sisalation Lap Tape (50mm × 30m rolls)</t>
        </is>
      </c>
      <c r="F206" s="62" t="inlineStr">
        <is>
          <t>rolls</t>
        </is>
      </c>
      <c r="G206" s="62" t="n">
        <v>3</v>
      </c>
      <c r="H206" s="62" t="inlineStr">
        <is>
          <t>calculated</t>
        </is>
      </c>
      <c r="I206" s="62" t="inlineStr">
        <is>
          <t>ceil(roof_area(106.60) / 50 m² per roll)</t>
        </is>
      </c>
      <c r="J206" s="62" t="inlineStr">
        <is>
          <t>dxf_geometry: roof_area=106.60 m²</t>
        </is>
      </c>
      <c r="K206" s="62" t="inlineStr">
        <is>
          <t>ceil(106.60/50)</t>
        </is>
      </c>
      <c r="L206" s="62" t="inlineStr">
        <is>
          <t>LOW</t>
        </is>
      </c>
    </row>
    <row r="207">
      <c r="A207" s="62" t="inlineStr">
        <is>
          <t>C04</t>
        </is>
      </c>
      <c r="B207" s="62" t="inlineStr">
        <is>
          <t>50118</t>
        </is>
      </c>
      <c r="C207" s="62" t="inlineStr">
        <is>
          <t>50118 - Insulation</t>
        </is>
      </c>
      <c r="D207" s="62" t="inlineStr">
        <is>
          <t>Insulation Batts — Ceiling (R4.0, between ceiling battens)</t>
        </is>
      </c>
      <c r="E207" s="62" t="inlineStr">
        <is>
          <t>Insulation | Glasswool Batts, Ceiling</t>
        </is>
      </c>
      <c r="F207" s="62" t="inlineStr">
        <is>
          <t>m2</t>
        </is>
      </c>
      <c r="G207" s="62" t="n">
        <v>49</v>
      </c>
      <c r="H207" s="62" t="inlineStr">
        <is>
          <t>calculated</t>
        </is>
      </c>
      <c r="I207" s="62">
        <f> ceiling_area_m2 (batts between ceiling joists/battens)</f>
        <v/>
      </c>
      <c r="J207" s="62" t="inlineStr">
        <is>
          <t>dxf_geometry: ceiling_area=49.00 m² (CEILING HATCH layer)</t>
        </is>
      </c>
      <c r="K207" s="62">
        <f> ceiling_area</f>
        <v/>
      </c>
      <c r="L207" s="62" t="inlineStr">
        <is>
          <t>HIGH</t>
        </is>
      </c>
    </row>
    <row r="208">
      <c r="A208" s="62" t="inlineStr">
        <is>
          <t>C05</t>
        </is>
      </c>
      <c r="B208" s="62" t="inlineStr">
        <is>
          <t>50118</t>
        </is>
      </c>
      <c r="C208" s="62" t="inlineStr">
        <is>
          <t>50118 - Insulation</t>
        </is>
      </c>
      <c r="D208" s="62" t="inlineStr">
        <is>
          <t>Insulation Batts — External Wall (R2.0)</t>
        </is>
      </c>
      <c r="E208" s="62" t="inlineStr">
        <is>
          <t>Insulation | Glasswool Batts, External Wall</t>
        </is>
      </c>
      <c r="F208" s="62" t="inlineStr">
        <is>
          <t>m2</t>
        </is>
      </c>
      <c r="G208" s="62" t="n">
        <v>92.16</v>
      </c>
      <c r="H208" s="62" t="inlineStr">
        <is>
          <t>calculated</t>
        </is>
      </c>
      <c r="I208" s="62" t="inlineStr">
        <is>
          <t>ext_wall_perimeter × wall_height</t>
        </is>
      </c>
      <c r="J208" s="62" t="inlineStr">
        <is>
          <t>dxf_geometry: ext_wall_lm=38.40 × h=2.4</t>
        </is>
      </c>
      <c r="K208" s="62" t="inlineStr">
        <is>
          <t>38.40 × 2.4</t>
        </is>
      </c>
      <c r="L208" s="62" t="inlineStr">
        <is>
          <t>MEDIUM</t>
        </is>
      </c>
    </row>
    <row r="209">
      <c r="A209" s="62" t="inlineStr">
        <is>
          <t>C06</t>
        </is>
      </c>
      <c r="B209" s="62" t="inlineStr">
        <is>
          <t>50118</t>
        </is>
      </c>
      <c r="C209" s="62" t="inlineStr">
        <is>
          <t>50118 - Insulation</t>
        </is>
      </c>
      <c r="D209" s="62" t="inlineStr">
        <is>
          <t>Insulation Batts — Internal Wall (acoustic, R1.5)</t>
        </is>
      </c>
      <c r="E209" s="62" t="inlineStr">
        <is>
          <t>Insulation | Glasswool Batts, Internal Wall</t>
        </is>
      </c>
      <c r="F209" s="62" t="inlineStr">
        <is>
          <t>m2</t>
        </is>
      </c>
      <c r="G209" s="62" t="n">
        <v>70.56</v>
      </c>
      <c r="H209" s="62" t="inlineStr">
        <is>
          <t>calculated</t>
        </is>
      </c>
      <c r="I209" s="62" t="inlineStr">
        <is>
          <t>int_wall_lm × wall_height (single face area per partition)</t>
        </is>
      </c>
      <c r="J209" s="62" t="inlineStr">
        <is>
          <t>dxf_geometry: int_wall_lm=29.40 × h=2.4</t>
        </is>
      </c>
      <c r="K209" s="62" t="inlineStr">
        <is>
          <t>29.40 × 2.4</t>
        </is>
      </c>
      <c r="L209" s="62" t="inlineStr">
        <is>
          <t>HIGH</t>
        </is>
      </c>
    </row>
    <row r="210">
      <c r="A210" s="62" t="inlineStr">
        <is>
          <t>C07</t>
        </is>
      </c>
      <c r="B210" s="62" t="inlineStr">
        <is>
          <t>50118</t>
        </is>
      </c>
      <c r="C210" s="62" t="inlineStr">
        <is>
          <t>50118 - Insulation</t>
        </is>
      </c>
      <c r="D210" s="62" t="inlineStr">
        <is>
          <t>Insulation Batts — Total Supply (all zones)</t>
        </is>
      </c>
      <c r="E210" s="62" t="inlineStr">
        <is>
          <t>Insulation | Glasswool Batts, Total Supply</t>
        </is>
      </c>
      <c r="F210" s="62" t="inlineStr">
        <is>
          <t>m2</t>
        </is>
      </c>
      <c r="G210" s="62" t="n">
        <v>318.32</v>
      </c>
      <c r="H210" s="62" t="inlineStr">
        <is>
          <t>calculated</t>
        </is>
      </c>
      <c r="I210" s="62" t="inlineStr">
        <is>
          <t>sum of all insulation batt areas: roof cavity + ceiling + ext wall + int wall</t>
        </is>
      </c>
      <c r="J210" s="62" t="inlineStr">
        <is>
          <t>derived: Roof Cavity(106.6m²) + Ceiling(49.0m²) + External Wall(92.2m²) + Internal Wall(70.6m²) = 318.32m²</t>
        </is>
      </c>
      <c r="K210" s="62" t="inlineStr">
        <is>
          <t>sum(batt_area per zone)</t>
        </is>
      </c>
      <c r="L210" s="62" t="inlineStr">
        <is>
          <t>MEDIUM</t>
        </is>
      </c>
    </row>
    <row r="211">
      <c r="A211" s="62" t="inlineStr">
        <is>
          <t>J01</t>
        </is>
      </c>
      <c r="B211" s="62" t="inlineStr">
        <is>
          <t>50124</t>
        </is>
      </c>
      <c r="C211" s="62" t="inlineStr">
        <is>
          <t>50124 - Stairs &amp; Balustrades</t>
        </is>
      </c>
      <c r="D211" s="62" t="inlineStr">
        <is>
          <t>Stair Stringer (Prefabricated Set) — 3 RISER</t>
        </is>
      </c>
      <c r="E211" s="62" t="inlineStr">
        <is>
          <t>Stair | Stringer</t>
        </is>
      </c>
      <c r="F211" s="62" t="inlineStr">
        <is>
          <t>nr</t>
        </is>
      </c>
      <c r="G211" s="62" t="n">
        <v>1</v>
      </c>
      <c r="H211" s="62" t="inlineStr">
        <is>
          <t>inferred</t>
        </is>
      </c>
      <c r="I211" s="62" t="inlineStr">
        <is>
          <t>project_config: stair evidence</t>
        </is>
      </c>
      <c r="J211" s="62" t="inlineStr">
        <is>
          <t>project_config: STR-1</t>
        </is>
      </c>
      <c r="K211" s="62" t="inlineStr">
        <is>
          <t>DXF stair layer</t>
        </is>
      </c>
      <c r="L211" s="62" t="inlineStr">
        <is>
          <t>LOW</t>
        </is>
      </c>
    </row>
    <row r="212">
      <c r="A212" s="62" t="inlineStr">
        <is>
          <t>J02</t>
        </is>
      </c>
      <c r="B212" s="62" t="inlineStr">
        <is>
          <t>50124</t>
        </is>
      </c>
      <c r="C212" s="62" t="inlineStr">
        <is>
          <t>50124 - Stairs &amp; Balustrades</t>
        </is>
      </c>
      <c r="D212" s="62" t="inlineStr">
        <is>
          <t>Stair Tread</t>
        </is>
      </c>
      <c r="E212" s="62" t="inlineStr">
        <is>
          <t>Stair | Tread</t>
        </is>
      </c>
      <c r="F212" s="62" t="inlineStr">
        <is>
          <t>nr</t>
        </is>
      </c>
      <c r="G212" s="62" t="n">
        <v>3</v>
      </c>
      <c r="H212" s="62" t="inlineStr">
        <is>
          <t>inferred</t>
        </is>
      </c>
      <c r="I212" s="62" t="inlineStr">
        <is>
          <t>flights × risers_per_flight = 1 × 3</t>
        </is>
      </c>
      <c r="J212" s="62" t="inlineStr">
        <is>
          <t>project_config: risers_per_flight=3</t>
        </is>
      </c>
      <c r="K212" s="62" t="inlineStr">
        <is>
          <t>1 × 3</t>
        </is>
      </c>
      <c r="L212" s="62" t="inlineStr">
        <is>
          <t>LOW</t>
        </is>
      </c>
    </row>
    <row r="213">
      <c r="A213" s="62" t="inlineStr">
        <is>
          <t>J03</t>
        </is>
      </c>
      <c r="B213" s="62" t="inlineStr">
        <is>
          <t>50124</t>
        </is>
      </c>
      <c r="C213" s="62" t="inlineStr">
        <is>
          <t>50124 - Stairs &amp; Balustrades</t>
        </is>
      </c>
      <c r="D213" s="62" t="inlineStr">
        <is>
          <t>Stair Newel Post</t>
        </is>
      </c>
      <c r="E213" s="62" t="inlineStr">
        <is>
          <t>Stair | Component</t>
        </is>
      </c>
      <c r="F213" s="62" t="inlineStr">
        <is>
          <t>nr</t>
        </is>
      </c>
      <c r="G213" s="62" t="n">
        <v>2</v>
      </c>
      <c r="H213" s="62" t="inlineStr">
        <is>
          <t>calculated</t>
        </is>
      </c>
      <c r="I213" s="62" t="inlineStr">
        <is>
          <t>flights × 2 newel posts = 1 × 2</t>
        </is>
      </c>
      <c r="J213" s="62" t="inlineStr">
        <is>
          <t>project_config: STR-1</t>
        </is>
      </c>
      <c r="K213" s="62" t="inlineStr">
        <is>
          <t>1 × 2</t>
        </is>
      </c>
      <c r="L213" s="62" t="inlineStr">
        <is>
          <t>MEDIUM</t>
        </is>
      </c>
    </row>
    <row r="214">
      <c r="A214" s="62" t="inlineStr">
        <is>
          <t>J04</t>
        </is>
      </c>
      <c r="B214" s="62" t="inlineStr">
        <is>
          <t>50124</t>
        </is>
      </c>
      <c r="C214" s="62" t="inlineStr">
        <is>
          <t>50124 - Stairs &amp; Balustrades</t>
        </is>
      </c>
      <c r="D214" s="62" t="inlineStr">
        <is>
          <t>Stair Balustrade — Top Rail</t>
        </is>
      </c>
      <c r="E214" s="62" t="inlineStr">
        <is>
          <t>Stair | Balustrade Top Rail</t>
        </is>
      </c>
      <c r="F214" s="62" t="inlineStr">
        <is>
          <t>lm</t>
        </is>
      </c>
      <c r="G214" s="62" t="n">
        <v>0.75</v>
      </c>
      <c r="H214" s="62" t="inlineStr">
        <is>
          <t>calculated</t>
        </is>
      </c>
      <c r="I214" s="62">
        <f> stair_run_estimate</f>
        <v/>
      </c>
      <c r="J214" s="62" t="inlineStr">
        <is>
          <t>project_config: STR-1</t>
        </is>
      </c>
      <c r="K214" s="62" t="inlineStr">
        <is>
          <t>run_est=0.75 m</t>
        </is>
      </c>
      <c r="L214" s="62" t="inlineStr">
        <is>
          <t>LOW</t>
        </is>
      </c>
    </row>
    <row r="215">
      <c r="A215" s="62" t="inlineStr">
        <is>
          <t>J05</t>
        </is>
      </c>
      <c r="B215" s="62" t="inlineStr">
        <is>
          <t>50124</t>
        </is>
      </c>
      <c r="C215" s="62" t="inlineStr">
        <is>
          <t>50124 - Stairs &amp; Balustrades</t>
        </is>
      </c>
      <c r="D215" s="62" t="inlineStr">
        <is>
          <t>Stair Balustrade Post</t>
        </is>
      </c>
      <c r="E215" s="62" t="inlineStr">
        <is>
          <t>Stair | Balustrade Post</t>
        </is>
      </c>
      <c r="F215" s="62" t="inlineStr">
        <is>
          <t>nr</t>
        </is>
      </c>
      <c r="G215" s="62" t="n">
        <v>1</v>
      </c>
      <c r="H215" s="62" t="inlineStr">
        <is>
          <t>calculated</t>
        </is>
      </c>
      <c r="I215" s="62" t="inlineStr">
        <is>
          <t>ceil(balustrade_lm / 1.2 m) = ceil(0.75/1.2)</t>
        </is>
      </c>
      <c r="J215" s="62" t="inlineStr">
        <is>
          <t>project_config: balustrade_lm=0.75 m</t>
        </is>
      </c>
      <c r="K215" s="62" t="inlineStr">
        <is>
          <t>ceil(lm / 1.2)</t>
        </is>
      </c>
      <c r="L215" s="62" t="inlineStr">
        <is>
          <t>LOW</t>
        </is>
      </c>
    </row>
    <row r="216">
      <c r="A216" s="62" t="inlineStr">
        <is>
          <t>J06</t>
        </is>
      </c>
      <c r="B216" s="62" t="inlineStr">
        <is>
          <t>50124</t>
        </is>
      </c>
      <c r="C216" s="62" t="inlineStr">
        <is>
          <t>50124 - Stairs &amp; Balustrades</t>
        </is>
      </c>
      <c r="D216" s="62" t="inlineStr">
        <is>
          <t>Stair Balustrade Infill (glass / mesh / picket)</t>
        </is>
      </c>
      <c r="E216" s="62" t="inlineStr">
        <is>
          <t>Stair | Balustrade Infill</t>
        </is>
      </c>
      <c r="F216" s="62" t="inlineStr">
        <is>
          <t>m2</t>
        </is>
      </c>
      <c r="G216" s="62" t="n">
        <v>0.75</v>
      </c>
      <c r="H216" s="62" t="inlineStr">
        <is>
          <t>inferred</t>
        </is>
      </c>
      <c r="I216" s="62" t="inlineStr">
        <is>
          <t>balustrade_lm × 1.0 m height = 0.75 × 1.0</t>
        </is>
      </c>
      <c r="J216" s="62" t="inlineStr">
        <is>
          <t>project_config: balustrade_lm=0.75 m</t>
        </is>
      </c>
      <c r="K216" s="62" t="inlineStr">
        <is>
          <t>lm × 1.0 m infill height</t>
        </is>
      </c>
      <c r="L216" s="62" t="inlineStr">
        <is>
          <t>LOW</t>
        </is>
      </c>
    </row>
    <row r="217">
      <c r="A217" s="62" t="inlineStr">
        <is>
          <t>J07</t>
        </is>
      </c>
      <c r="B217" s="62" t="inlineStr">
        <is>
          <t>50124</t>
        </is>
      </c>
      <c r="C217" s="62" t="inlineStr">
        <is>
          <t>50124 - Stairs &amp; Balustrades</t>
        </is>
      </c>
      <c r="D217" s="62" t="inlineStr">
        <is>
          <t>Stair Handrail</t>
        </is>
      </c>
      <c r="E217" s="62" t="inlineStr">
        <is>
          <t>Stair | Handrail</t>
        </is>
      </c>
      <c r="F217" s="62" t="inlineStr">
        <is>
          <t>lm</t>
        </is>
      </c>
      <c r="G217" s="62" t="n">
        <v>0.75</v>
      </c>
      <c r="H217" s="62" t="inlineStr">
        <is>
          <t>calculated</t>
        </is>
      </c>
      <c r="I217" s="62">
        <f> stair_run_estimate</f>
        <v/>
      </c>
      <c r="J217" s="62" t="inlineStr">
        <is>
          <t>project_config: STR-1</t>
        </is>
      </c>
      <c r="K217" s="62" t="inlineStr">
        <is>
          <t>run_est=0.75 m</t>
        </is>
      </c>
      <c r="L217" s="62" t="inlineStr">
        <is>
          <t>LOW</t>
        </is>
      </c>
    </row>
    <row r="218">
      <c r="A218" s="62" t="inlineStr">
        <is>
          <t>J08</t>
        </is>
      </c>
      <c r="B218" s="62" t="inlineStr">
        <is>
          <t>50124</t>
        </is>
      </c>
      <c r="C218" s="62" t="inlineStr">
        <is>
          <t>50124 - Stairs &amp; Balustrades</t>
        </is>
      </c>
      <c r="D218" s="62" t="inlineStr">
        <is>
          <t>Access Ramp — Surface (concrete / non-slip)</t>
        </is>
      </c>
      <c r="E218" s="62" t="inlineStr">
        <is>
          <t>Access Ramp | Surface, Concrete / Non-slip</t>
        </is>
      </c>
      <c r="F218" s="62" t="inlineStr">
        <is>
          <t>m2</t>
        </is>
      </c>
      <c r="G218" s="62" t="n">
        <v>8.82</v>
      </c>
      <c r="H218" s="62" t="inlineStr">
        <is>
          <t>inferred</t>
        </is>
      </c>
      <c r="I218" s="62" t="inlineStr">
        <is>
          <t>1:14 gradient × 525mm entry height × 1.2m wide [stair: 3 risers × 175 mm = 525 mm]</t>
        </is>
      </c>
      <c r="J218" s="62" t="inlineStr">
        <is>
          <t>derived from project_config: stair: 3 risers × 175 mm = 525 mm</t>
        </is>
      </c>
      <c r="K218" s="62" t="inlineStr">
        <is>
          <t>7.35 m run × 1.2 m wide</t>
        </is>
      </c>
      <c r="L218" s="62" t="inlineStr">
        <is>
          <t>LOW</t>
        </is>
      </c>
    </row>
    <row r="219">
      <c r="A219" s="62" t="inlineStr">
        <is>
          <t>J09</t>
        </is>
      </c>
      <c r="B219" s="62" t="inlineStr">
        <is>
          <t>50124</t>
        </is>
      </c>
      <c r="C219" s="62" t="inlineStr">
        <is>
          <t>50124 - Stairs &amp; Balustrades</t>
        </is>
      </c>
      <c r="D219" s="62" t="inlineStr">
        <is>
          <t>Access Ramp — Handrail (both sides)</t>
        </is>
      </c>
      <c r="E219" s="62" t="inlineStr">
        <is>
          <t>Access Ramp | (type by design)</t>
        </is>
      </c>
      <c r="F219" s="62" t="inlineStr">
        <is>
          <t>lm</t>
        </is>
      </c>
      <c r="G219" s="62" t="n">
        <v>14.7</v>
      </c>
      <c r="H219" s="62" t="inlineStr">
        <is>
          <t>inferred</t>
        </is>
      </c>
      <c r="I219" s="62" t="inlineStr">
        <is>
          <t>ramp_run × 2 sides = 7.35 × 2</t>
        </is>
      </c>
      <c r="J219" s="62" t="inlineStr">
        <is>
          <t>derived from ramp run: 7.35 m (stair: 3 risers × 175 mm = 525 mm)</t>
        </is>
      </c>
      <c r="K219" s="62" t="inlineStr">
        <is>
          <t>7.35 × 2</t>
        </is>
      </c>
      <c r="L219" s="62" t="inlineStr">
        <is>
          <t>LOW</t>
        </is>
      </c>
    </row>
    <row r="220">
      <c r="A220" s="62" t="inlineStr">
        <is>
          <t>J10</t>
        </is>
      </c>
      <c r="B220" s="62" t="inlineStr">
        <is>
          <t>50124</t>
        </is>
      </c>
      <c r="C220" s="62" t="inlineStr">
        <is>
          <t>50124 - Stairs &amp; Balustrades</t>
        </is>
      </c>
      <c r="D220" s="62" t="inlineStr">
        <is>
          <t>Access Ramp — Edge Kerb / Guard</t>
        </is>
      </c>
      <c r="E220" s="62" t="inlineStr">
        <is>
          <t>Access Ramp | Edge Kerb / Guard</t>
        </is>
      </c>
      <c r="F220" s="62" t="inlineStr">
        <is>
          <t>lm</t>
        </is>
      </c>
      <c r="G220" s="62" t="n">
        <v>14.7</v>
      </c>
      <c r="H220" s="62" t="inlineStr">
        <is>
          <t>inferred</t>
        </is>
      </c>
      <c r="I220" s="62" t="inlineStr">
        <is>
          <t>ramp_run × 2 sides = 7.35 × 2</t>
        </is>
      </c>
      <c r="J220" s="62" t="inlineStr">
        <is>
          <t>derived from ramp run: 7.35 m (stair: 3 risers × 175 mm = 525 mm)</t>
        </is>
      </c>
      <c r="K220" s="62" t="inlineStr">
        <is>
          <t>7.35 × 2</t>
        </is>
      </c>
      <c r="L220" s="62" t="inlineStr">
        <is>
          <t>LOW</t>
        </is>
      </c>
    </row>
    <row r="221">
      <c r="A221" s="62" t="inlineStr">
        <is>
          <t>K01</t>
        </is>
      </c>
      <c r="B221" s="62" t="inlineStr">
        <is>
          <t>50124</t>
        </is>
      </c>
      <c r="C221" s="62" t="inlineStr">
        <is>
          <t>50124 - Stairs &amp; Balustrades</t>
        </is>
      </c>
      <c r="D221" s="62" t="inlineStr">
        <is>
          <t>Verandah Balustrade</t>
        </is>
      </c>
      <c r="E221" s="62" t="inlineStr">
        <is>
          <t>External Works | Verandah Balustrade</t>
        </is>
      </c>
      <c r="F221" s="62" t="inlineStr">
        <is>
          <t>lm</t>
        </is>
      </c>
      <c r="G221" s="62" t="n">
        <v>20.4</v>
      </c>
      <c r="H221" s="62" t="inlineStr">
        <is>
          <t>measured</t>
        </is>
      </c>
      <c r="I221" s="62" t="inlineStr">
        <is>
          <t>DXF VERANDAH perimeter</t>
        </is>
      </c>
      <c r="J221" s="62" t="inlineStr">
        <is>
          <t>dxf_geometry: verandah_perimeter=20.40 m</t>
        </is>
      </c>
      <c r="K221" s="62">
        <f> verandah_perimeter_m</f>
        <v/>
      </c>
      <c r="L221" s="62" t="inlineStr">
        <is>
          <t>HIGH</t>
        </is>
      </c>
    </row>
    <row r="222">
      <c r="A222" s="62" t="inlineStr">
        <is>
          <t>K02</t>
        </is>
      </c>
      <c r="B222" s="62" t="inlineStr">
        <is>
          <t>50124</t>
        </is>
      </c>
      <c r="C222" s="62" t="inlineStr">
        <is>
          <t>50124 - Stairs &amp; Balustrades</t>
        </is>
      </c>
      <c r="D222" s="62" t="inlineStr">
        <is>
          <t>Verandah Handrail</t>
        </is>
      </c>
      <c r="E222" s="62" t="inlineStr">
        <is>
          <t>External Works | Verandah Handrail</t>
        </is>
      </c>
      <c r="F222" s="62" t="inlineStr">
        <is>
          <t>lm</t>
        </is>
      </c>
      <c r="G222" s="62" t="n">
        <v>20.4</v>
      </c>
      <c r="H222" s="62" t="inlineStr">
        <is>
          <t>calculated</t>
        </is>
      </c>
      <c r="I222" s="62">
        <f> verandah_perimeter (full open edge)</f>
        <v/>
      </c>
      <c r="J222" s="62" t="inlineStr">
        <is>
          <t>dxf_geometry: verandah_perimeter=20.40 m</t>
        </is>
      </c>
      <c r="K222" s="62">
        <f> verandah_perimeter</f>
        <v/>
      </c>
      <c r="L222" s="62" t="inlineStr">
        <is>
          <t>MEDIUM</t>
        </is>
      </c>
    </row>
    <row r="223">
      <c r="A223" s="62" t="inlineStr">
        <is>
          <t>K03</t>
        </is>
      </c>
      <c r="B223" s="62" t="inlineStr">
        <is>
          <t>50124</t>
        </is>
      </c>
      <c r="C223" s="62" t="inlineStr">
        <is>
          <t>50124 - Stairs &amp; Balustrades</t>
        </is>
      </c>
      <c r="D223" s="62" t="inlineStr">
        <is>
          <t>Balustrade Post</t>
        </is>
      </c>
      <c r="E223" s="62" t="inlineStr">
        <is>
          <t>Balustrade | Post</t>
        </is>
      </c>
      <c r="F223" s="62" t="inlineStr">
        <is>
          <t>nr</t>
        </is>
      </c>
      <c r="G223" s="62" t="n">
        <v>17</v>
      </c>
      <c r="H223" s="62" t="inlineStr">
        <is>
          <t>calculated</t>
        </is>
      </c>
      <c r="I223" s="62" t="inlineStr">
        <is>
          <t>ceil(verandah_perimeter / 1.2 m)</t>
        </is>
      </c>
      <c r="J223" s="62" t="inlineStr">
        <is>
          <t>derived from verandah_perimeter=20.40 m</t>
        </is>
      </c>
      <c r="K223" s="62" t="inlineStr">
        <is>
          <t>ceil(perimeter / 1.2)</t>
        </is>
      </c>
      <c r="L223" s="62" t="inlineStr">
        <is>
          <t>LOW</t>
        </is>
      </c>
    </row>
    <row r="224">
      <c r="A224" s="62" t="inlineStr"/>
      <c r="B224" s="62" t="inlineStr">
        <is>
          <t>50106</t>
        </is>
      </c>
      <c r="C224" s="62" t="inlineStr"/>
      <c r="D224" s="62" t="inlineStr">
        <is>
          <t>[COMMERCIAL BLOCK] Trims</t>
        </is>
      </c>
      <c r="E224" s="62" t="inlineStr">
        <is>
          <t>Trims</t>
        </is>
      </c>
      <c r="F224" s="62" t="n"/>
      <c r="G224" s="62" t="n"/>
      <c r="H224" s="62" t="inlineStr">
        <is>
          <t>export_only_grouping</t>
        </is>
      </c>
      <c r="I224" s="62" t="inlineStr">
        <is>
          <t>COMMERCIAL BLOCK HEADER — no quantity.</t>
        </is>
      </c>
      <c r="J224" s="62" t="inlineStr">
        <is>
          <t>export_layer</t>
        </is>
      </c>
      <c r="K224" s="62" t="inlineStr">
        <is>
          <t>insert_commercial_block_headers</t>
        </is>
      </c>
      <c r="L224" s="62" t="inlineStr">
        <is>
          <t>HIGH</t>
        </is>
      </c>
    </row>
    <row r="225">
      <c r="A225" s="62" t="inlineStr"/>
      <c r="B225" s="62" t="inlineStr">
        <is>
          <t>50106</t>
        </is>
      </c>
      <c r="C225" s="62" t="inlineStr"/>
      <c r="D225" s="62" t="inlineStr">
        <is>
          <t>[COMMERCIAL BLOCK] Decking</t>
        </is>
      </c>
      <c r="E225" s="62" t="inlineStr">
        <is>
          <t>Decking</t>
        </is>
      </c>
      <c r="F225" s="62" t="n"/>
      <c r="G225" s="62" t="n"/>
      <c r="H225" s="62" t="inlineStr">
        <is>
          <t>export_only_grouping</t>
        </is>
      </c>
      <c r="I225" s="62" t="inlineStr">
        <is>
          <t>COMMERCIAL BLOCK HEADER — no quantity.</t>
        </is>
      </c>
      <c r="J225" s="62" t="inlineStr">
        <is>
          <t>export_layer</t>
        </is>
      </c>
      <c r="K225" s="62" t="inlineStr">
        <is>
          <t>insert_commercial_block_headers</t>
        </is>
      </c>
      <c r="L225" s="62" t="inlineStr">
        <is>
          <t>HIGH</t>
        </is>
      </c>
    </row>
    <row r="226">
      <c r="A226" s="62" t="inlineStr"/>
      <c r="B226" s="62" t="inlineStr">
        <is>
          <t>50107</t>
        </is>
      </c>
      <c r="C226" s="62" t="inlineStr"/>
      <c r="D226" s="62" t="inlineStr">
        <is>
          <t>[COMMERCIAL BLOCK] Footings</t>
        </is>
      </c>
      <c r="E226" s="62" t="inlineStr">
        <is>
          <t>Footings</t>
        </is>
      </c>
      <c r="F226" s="62" t="n"/>
      <c r="G226" s="62" t="n"/>
      <c r="H226" s="62" t="inlineStr">
        <is>
          <t>export_only_grouping</t>
        </is>
      </c>
      <c r="I226" s="62" t="inlineStr">
        <is>
          <t>COMMERCIAL BLOCK HEADER — no quantity.</t>
        </is>
      </c>
      <c r="J226" s="62" t="inlineStr">
        <is>
          <t>export_layer</t>
        </is>
      </c>
      <c r="K226" s="62" t="inlineStr">
        <is>
          <t>insert_commercial_block_headers</t>
        </is>
      </c>
      <c r="L226" s="62" t="inlineStr">
        <is>
          <t>HIGH</t>
        </is>
      </c>
    </row>
    <row r="227">
      <c r="A227" s="62" t="inlineStr"/>
      <c r="B227" s="62" t="inlineStr">
        <is>
          <t>50107</t>
        </is>
      </c>
      <c r="C227" s="62" t="inlineStr"/>
      <c r="D227" s="62" t="inlineStr">
        <is>
          <t>[COMMERCIAL BLOCK] Substructure</t>
        </is>
      </c>
      <c r="E227" s="62" t="inlineStr">
        <is>
          <t>Substructure</t>
        </is>
      </c>
      <c r="F227" s="62" t="n"/>
      <c r="G227" s="62" t="n"/>
      <c r="H227" s="62" t="inlineStr">
        <is>
          <t>export_only_grouping</t>
        </is>
      </c>
      <c r="I227" s="62" t="inlineStr">
        <is>
          <t>COMMERCIAL BLOCK HEADER — no quantity.</t>
        </is>
      </c>
      <c r="J227" s="62" t="inlineStr">
        <is>
          <t>export_layer</t>
        </is>
      </c>
      <c r="K227" s="62" t="inlineStr">
        <is>
          <t>insert_commercial_block_headers</t>
        </is>
      </c>
      <c r="L227" s="62" t="inlineStr">
        <is>
          <t>HIGH</t>
        </is>
      </c>
    </row>
    <row r="228">
      <c r="A228" s="62" t="inlineStr"/>
      <c r="B228" s="62" t="inlineStr">
        <is>
          <t>50107</t>
        </is>
      </c>
      <c r="C228" s="62" t="inlineStr"/>
      <c r="D228" s="62" t="inlineStr">
        <is>
          <t>[COMMERCIAL BLOCK] Floor System</t>
        </is>
      </c>
      <c r="E228" s="62" t="inlineStr">
        <is>
          <t>Floor System</t>
        </is>
      </c>
      <c r="F228" s="62" t="n"/>
      <c r="G228" s="62" t="n"/>
      <c r="H228" s="62" t="inlineStr">
        <is>
          <t>export_only_grouping</t>
        </is>
      </c>
      <c r="I228" s="62" t="inlineStr">
        <is>
          <t>COMMERCIAL BLOCK HEADER — no quantity.</t>
        </is>
      </c>
      <c r="J228" s="62" t="inlineStr">
        <is>
          <t>export_layer</t>
        </is>
      </c>
      <c r="K228" s="62" t="inlineStr">
        <is>
          <t>insert_commercial_block_headers</t>
        </is>
      </c>
      <c r="L228" s="62" t="inlineStr">
        <is>
          <t>HIGH</t>
        </is>
      </c>
    </row>
    <row r="229">
      <c r="A229" s="62" t="inlineStr"/>
      <c r="B229" s="62" t="inlineStr">
        <is>
          <t>50107</t>
        </is>
      </c>
      <c r="C229" s="62" t="inlineStr"/>
      <c r="D229" s="62" t="inlineStr">
        <is>
          <t>[COMMERCIAL BLOCK] Frame</t>
        </is>
      </c>
      <c r="E229" s="62" t="inlineStr">
        <is>
          <t>Frame</t>
        </is>
      </c>
      <c r="F229" s="62" t="n"/>
      <c r="G229" s="62" t="n"/>
      <c r="H229" s="62" t="inlineStr">
        <is>
          <t>export_only_grouping</t>
        </is>
      </c>
      <c r="I229" s="62" t="inlineStr">
        <is>
          <t>COMMERCIAL BLOCK HEADER — no quantity.</t>
        </is>
      </c>
      <c r="J229" s="62" t="inlineStr">
        <is>
          <t>export_layer</t>
        </is>
      </c>
      <c r="K229" s="62" t="inlineStr">
        <is>
          <t>insert_commercial_block_headers</t>
        </is>
      </c>
      <c r="L229" s="62" t="inlineStr">
        <is>
          <t>HIGH</t>
        </is>
      </c>
    </row>
    <row r="230">
      <c r="A230" s="62" t="inlineStr"/>
      <c r="B230" s="62" t="inlineStr">
        <is>
          <t>50111</t>
        </is>
      </c>
      <c r="C230" s="62" t="inlineStr"/>
      <c r="D230" s="62" t="inlineStr">
        <is>
          <t>[COMMERCIAL BLOCK] Structural Fixings</t>
        </is>
      </c>
      <c r="E230" s="62" t="inlineStr">
        <is>
          <t>Structural Fixings</t>
        </is>
      </c>
      <c r="F230" s="62" t="n"/>
      <c r="G230" s="62" t="n"/>
      <c r="H230" s="62" t="inlineStr">
        <is>
          <t>export_only_grouping</t>
        </is>
      </c>
      <c r="I230" s="62" t="inlineStr">
        <is>
          <t>COMMERCIAL BLOCK HEADER — no quantity.</t>
        </is>
      </c>
      <c r="J230" s="62" t="inlineStr">
        <is>
          <t>export_layer</t>
        </is>
      </c>
      <c r="K230" s="62" t="inlineStr">
        <is>
          <t>insert_commercial_block_headers</t>
        </is>
      </c>
      <c r="L230" s="62" t="inlineStr">
        <is>
          <t>HIGH</t>
        </is>
      </c>
    </row>
    <row r="231">
      <c r="A231" s="62" t="inlineStr"/>
      <c r="B231" s="62" t="inlineStr">
        <is>
          <t>50112</t>
        </is>
      </c>
      <c r="C231" s="62" t="inlineStr"/>
      <c r="D231" s="62" t="inlineStr">
        <is>
          <t>[COMMERCIAL BLOCK] Roof Covering</t>
        </is>
      </c>
      <c r="E231" s="62" t="inlineStr">
        <is>
          <t>Roof Covering</t>
        </is>
      </c>
      <c r="F231" s="62" t="n"/>
      <c r="G231" s="62" t="n"/>
      <c r="H231" s="62" t="inlineStr">
        <is>
          <t>export_only_grouping</t>
        </is>
      </c>
      <c r="I231" s="62" t="inlineStr">
        <is>
          <t>COMMERCIAL BLOCK HEADER — no quantity.</t>
        </is>
      </c>
      <c r="J231" s="62" t="inlineStr">
        <is>
          <t>export_layer</t>
        </is>
      </c>
      <c r="K231" s="62" t="inlineStr">
        <is>
          <t>insert_commercial_block_headers</t>
        </is>
      </c>
      <c r="L231" s="62" t="inlineStr">
        <is>
          <t>HIGH</t>
        </is>
      </c>
    </row>
    <row r="232">
      <c r="A232" s="62" t="inlineStr"/>
      <c r="B232" s="62" t="inlineStr">
        <is>
          <t>50112</t>
        </is>
      </c>
      <c r="C232" s="62" t="inlineStr"/>
      <c r="D232" s="62" t="inlineStr">
        <is>
          <t>[COMMERCIAL BLOCK] Eaves</t>
        </is>
      </c>
      <c r="E232" s="62" t="inlineStr">
        <is>
          <t>Eaves</t>
        </is>
      </c>
      <c r="F232" s="62" t="n"/>
      <c r="G232" s="62" t="n"/>
      <c r="H232" s="62" t="inlineStr">
        <is>
          <t>export_only_grouping</t>
        </is>
      </c>
      <c r="I232" s="62" t="inlineStr">
        <is>
          <t>COMMERCIAL BLOCK HEADER — no quantity.</t>
        </is>
      </c>
      <c r="J232" s="62" t="inlineStr">
        <is>
          <t>export_layer</t>
        </is>
      </c>
      <c r="K232" s="62" t="inlineStr">
        <is>
          <t>insert_commercial_block_headers</t>
        </is>
      </c>
      <c r="L232" s="62" t="inlineStr">
        <is>
          <t>HIGH</t>
        </is>
      </c>
    </row>
    <row r="233">
      <c r="A233" s="62" t="inlineStr"/>
      <c r="B233" s="62" t="inlineStr">
        <is>
          <t>50112</t>
        </is>
      </c>
      <c r="C233" s="62" t="inlineStr"/>
      <c r="D233" s="62" t="inlineStr">
        <is>
          <t>[COMMERCIAL BLOCK] Roof Plumbing</t>
        </is>
      </c>
      <c r="E233" s="62" t="inlineStr">
        <is>
          <t>Roof Plumbing</t>
        </is>
      </c>
      <c r="F233" s="62" t="n"/>
      <c r="G233" s="62" t="n"/>
      <c r="H233" s="62" t="inlineStr">
        <is>
          <t>export_only_grouping</t>
        </is>
      </c>
      <c r="I233" s="62" t="inlineStr">
        <is>
          <t>COMMERCIAL BLOCK HEADER — no quantity.</t>
        </is>
      </c>
      <c r="J233" s="62" t="inlineStr">
        <is>
          <t>export_layer</t>
        </is>
      </c>
      <c r="K233" s="62" t="inlineStr">
        <is>
          <t>insert_commercial_block_headers</t>
        </is>
      </c>
      <c r="L233" s="62" t="inlineStr">
        <is>
          <t>HIGH</t>
        </is>
      </c>
    </row>
    <row r="234">
      <c r="A234" s="62" t="inlineStr"/>
      <c r="B234" s="62" t="inlineStr">
        <is>
          <t>50113</t>
        </is>
      </c>
      <c r="C234" s="62" t="inlineStr"/>
      <c r="D234" s="62" t="inlineStr">
        <is>
          <t>[COMMERCIAL BLOCK] Wall Cladding</t>
        </is>
      </c>
      <c r="E234" s="62" t="inlineStr">
        <is>
          <t>Wall Cladding</t>
        </is>
      </c>
      <c r="F234" s="62" t="n"/>
      <c r="G234" s="62" t="n"/>
      <c r="H234" s="62" t="inlineStr">
        <is>
          <t>export_only_grouping</t>
        </is>
      </c>
      <c r="I234" s="62" t="inlineStr">
        <is>
          <t>COMMERCIAL BLOCK HEADER — no quantity.</t>
        </is>
      </c>
      <c r="J234" s="62" t="inlineStr">
        <is>
          <t>export_layer</t>
        </is>
      </c>
      <c r="K234" s="62" t="inlineStr">
        <is>
          <t>insert_commercial_block_headers</t>
        </is>
      </c>
      <c r="L234" s="62" t="inlineStr">
        <is>
          <t>HIGH</t>
        </is>
      </c>
    </row>
    <row r="235">
      <c r="A235" s="62" t="inlineStr"/>
      <c r="B235" s="62" t="inlineStr">
        <is>
          <t>50114</t>
        </is>
      </c>
      <c r="C235" s="62" t="inlineStr"/>
      <c r="D235" s="62" t="inlineStr">
        <is>
          <t>[COMMERCIAL BLOCK] Doors</t>
        </is>
      </c>
      <c r="E235" s="62" t="inlineStr">
        <is>
          <t>Doors</t>
        </is>
      </c>
      <c r="F235" s="62" t="n"/>
      <c r="G235" s="62" t="n"/>
      <c r="H235" s="62" t="inlineStr">
        <is>
          <t>export_only_grouping</t>
        </is>
      </c>
      <c r="I235" s="62" t="inlineStr">
        <is>
          <t>COMMERCIAL BLOCK HEADER — no quantity.</t>
        </is>
      </c>
      <c r="J235" s="62" t="inlineStr">
        <is>
          <t>export_layer</t>
        </is>
      </c>
      <c r="K235" s="62" t="inlineStr">
        <is>
          <t>insert_commercial_block_headers</t>
        </is>
      </c>
      <c r="L235" s="62" t="inlineStr">
        <is>
          <t>HIGH</t>
        </is>
      </c>
    </row>
    <row r="236">
      <c r="A236" s="62" t="inlineStr"/>
      <c r="B236" s="62" t="inlineStr">
        <is>
          <t>50114</t>
        </is>
      </c>
      <c r="C236" s="62" t="inlineStr"/>
      <c r="D236" s="62" t="inlineStr">
        <is>
          <t>[COMMERCIAL BLOCK] Door Hardware</t>
        </is>
      </c>
      <c r="E236" s="62" t="inlineStr">
        <is>
          <t>Door Hardware</t>
        </is>
      </c>
      <c r="F236" s="62" t="n"/>
      <c r="G236" s="62" t="n"/>
      <c r="H236" s="62" t="inlineStr">
        <is>
          <t>export_only_grouping</t>
        </is>
      </c>
      <c r="I236" s="62" t="inlineStr">
        <is>
          <t>COMMERCIAL BLOCK HEADER — no quantity.</t>
        </is>
      </c>
      <c r="J236" s="62" t="inlineStr">
        <is>
          <t>export_layer</t>
        </is>
      </c>
      <c r="K236" s="62" t="inlineStr">
        <is>
          <t>insert_commercial_block_headers</t>
        </is>
      </c>
      <c r="L236" s="62" t="inlineStr">
        <is>
          <t>HIGH</t>
        </is>
      </c>
    </row>
    <row r="237">
      <c r="A237" s="62" t="inlineStr"/>
      <c r="B237" s="62" t="inlineStr">
        <is>
          <t>50114</t>
        </is>
      </c>
      <c r="C237" s="62" t="inlineStr"/>
      <c r="D237" s="62" t="inlineStr">
        <is>
          <t>[COMMERCIAL BLOCK] Windows</t>
        </is>
      </c>
      <c r="E237" s="62" t="inlineStr">
        <is>
          <t>Windows</t>
        </is>
      </c>
      <c r="F237" s="62" t="n"/>
      <c r="G237" s="62" t="n"/>
      <c r="H237" s="62" t="inlineStr">
        <is>
          <t>export_only_grouping</t>
        </is>
      </c>
      <c r="I237" s="62" t="inlineStr">
        <is>
          <t>COMMERCIAL BLOCK HEADER — no quantity.</t>
        </is>
      </c>
      <c r="J237" s="62" t="inlineStr">
        <is>
          <t>export_layer</t>
        </is>
      </c>
      <c r="K237" s="62" t="inlineStr">
        <is>
          <t>insert_commercial_block_headers</t>
        </is>
      </c>
      <c r="L237" s="62" t="inlineStr">
        <is>
          <t>HIGH</t>
        </is>
      </c>
    </row>
    <row r="238">
      <c r="A238" s="62" t="inlineStr"/>
      <c r="B238" s="62" t="inlineStr">
        <is>
          <t>50114</t>
        </is>
      </c>
      <c r="C238" s="62" t="inlineStr"/>
      <c r="D238" s="62" t="inlineStr">
        <is>
          <t>[COMMERCIAL BLOCK] Window Accessories</t>
        </is>
      </c>
      <c r="E238" s="62" t="inlineStr">
        <is>
          <t>Window Accessories</t>
        </is>
      </c>
      <c r="F238" s="62" t="n"/>
      <c r="G238" s="62" t="n"/>
      <c r="H238" s="62" t="inlineStr">
        <is>
          <t>export_only_grouping</t>
        </is>
      </c>
      <c r="I238" s="62" t="inlineStr">
        <is>
          <t>COMMERCIAL BLOCK HEADER — no quantity.</t>
        </is>
      </c>
      <c r="J238" s="62" t="inlineStr">
        <is>
          <t>export_layer</t>
        </is>
      </c>
      <c r="K238" s="62" t="inlineStr">
        <is>
          <t>insert_commercial_block_headers</t>
        </is>
      </c>
      <c r="L238" s="62" t="inlineStr">
        <is>
          <t>HIGH</t>
        </is>
      </c>
    </row>
    <row r="239">
      <c r="A239" s="62" t="inlineStr"/>
      <c r="B239" s="62" t="inlineStr">
        <is>
          <t>50115</t>
        </is>
      </c>
      <c r="C239" s="62" t="inlineStr"/>
      <c r="D239" s="62" t="inlineStr">
        <is>
          <t>[COMMERCIAL BLOCK] Ceiling Finishes</t>
        </is>
      </c>
      <c r="E239" s="62" t="inlineStr">
        <is>
          <t>Ceiling Finishes</t>
        </is>
      </c>
      <c r="F239" s="62" t="n"/>
      <c r="G239" s="62" t="n"/>
      <c r="H239" s="62" t="inlineStr">
        <is>
          <t>export_only_grouping</t>
        </is>
      </c>
      <c r="I239" s="62" t="inlineStr">
        <is>
          <t>COMMERCIAL BLOCK HEADER — no quantity.</t>
        </is>
      </c>
      <c r="J239" s="62" t="inlineStr">
        <is>
          <t>export_layer</t>
        </is>
      </c>
      <c r="K239" s="62" t="inlineStr">
        <is>
          <t>insert_commercial_block_headers</t>
        </is>
      </c>
      <c r="L239" s="62" t="inlineStr">
        <is>
          <t>HIGH</t>
        </is>
      </c>
    </row>
    <row r="240">
      <c r="A240" s="62" t="inlineStr"/>
      <c r="B240" s="62" t="inlineStr">
        <is>
          <t>50115</t>
        </is>
      </c>
      <c r="C240" s="62" t="inlineStr"/>
      <c r="D240" s="62" t="inlineStr">
        <is>
          <t>[COMMERCIAL BLOCK] Wall Finishes</t>
        </is>
      </c>
      <c r="E240" s="62" t="inlineStr">
        <is>
          <t>Wall Finishes</t>
        </is>
      </c>
      <c r="F240" s="62" t="n"/>
      <c r="G240" s="62" t="n"/>
      <c r="H240" s="62" t="inlineStr">
        <is>
          <t>export_only_grouping</t>
        </is>
      </c>
      <c r="I240" s="62" t="inlineStr">
        <is>
          <t>COMMERCIAL BLOCK HEADER — no quantity.</t>
        </is>
      </c>
      <c r="J240" s="62" t="inlineStr">
        <is>
          <t>export_layer</t>
        </is>
      </c>
      <c r="K240" s="62" t="inlineStr">
        <is>
          <t>insert_commercial_block_headers</t>
        </is>
      </c>
      <c r="L240" s="62" t="inlineStr">
        <is>
          <t>HIGH</t>
        </is>
      </c>
    </row>
    <row r="241">
      <c r="A241" s="62" t="inlineStr"/>
      <c r="B241" s="62" t="inlineStr">
        <is>
          <t>50115</t>
        </is>
      </c>
      <c r="C241" s="62" t="inlineStr"/>
      <c r="D241" s="62" t="inlineStr">
        <is>
          <t>[COMMERCIAL BLOCK] Wet Area Linings</t>
        </is>
      </c>
      <c r="E241" s="62" t="inlineStr">
        <is>
          <t>Wet Area Linings</t>
        </is>
      </c>
      <c r="F241" s="62" t="n"/>
      <c r="G241" s="62" t="n"/>
      <c r="H241" s="62" t="inlineStr">
        <is>
          <t>export_only_grouping</t>
        </is>
      </c>
      <c r="I241" s="62" t="inlineStr">
        <is>
          <t>COMMERCIAL BLOCK HEADER — no quantity.</t>
        </is>
      </c>
      <c r="J241" s="62" t="inlineStr">
        <is>
          <t>export_layer</t>
        </is>
      </c>
      <c r="K241" s="62" t="inlineStr">
        <is>
          <t>insert_commercial_block_headers</t>
        </is>
      </c>
      <c r="L241" s="62" t="inlineStr">
        <is>
          <t>HIGH</t>
        </is>
      </c>
    </row>
    <row r="242">
      <c r="A242" s="62" t="inlineStr"/>
      <c r="B242" s="62" t="inlineStr">
        <is>
          <t>50115</t>
        </is>
      </c>
      <c r="C242" s="62" t="inlineStr"/>
      <c r="D242" s="62" t="inlineStr">
        <is>
          <t>[COMMERCIAL BLOCK] Floor Finishes</t>
        </is>
      </c>
      <c r="E242" s="62" t="inlineStr">
        <is>
          <t>Floor Finishes</t>
        </is>
      </c>
      <c r="F242" s="62" t="n"/>
      <c r="G242" s="62" t="n"/>
      <c r="H242" s="62" t="inlineStr">
        <is>
          <t>export_only_grouping</t>
        </is>
      </c>
      <c r="I242" s="62" t="inlineStr">
        <is>
          <t>COMMERCIAL BLOCK HEADER — no quantity.</t>
        </is>
      </c>
      <c r="J242" s="62" t="inlineStr">
        <is>
          <t>export_layer</t>
        </is>
      </c>
      <c r="K242" s="62" t="inlineStr">
        <is>
          <t>insert_commercial_block_headers</t>
        </is>
      </c>
      <c r="L242" s="62" t="inlineStr">
        <is>
          <t>HIGH</t>
        </is>
      </c>
    </row>
    <row r="243">
      <c r="A243" s="62" t="inlineStr"/>
      <c r="B243" s="62" t="inlineStr">
        <is>
          <t>50116</t>
        </is>
      </c>
      <c r="C243" s="62" t="inlineStr"/>
      <c r="D243" s="62" t="inlineStr">
        <is>
          <t>[COMMERCIAL BLOCK] Paint &amp; Coatings</t>
        </is>
      </c>
      <c r="E243" s="62" t="inlineStr">
        <is>
          <t>Paint &amp; Coatings</t>
        </is>
      </c>
      <c r="F243" s="62" t="n"/>
      <c r="G243" s="62" t="n"/>
      <c r="H243" s="62" t="inlineStr">
        <is>
          <t>export_only_grouping</t>
        </is>
      </c>
      <c r="I243" s="62" t="inlineStr">
        <is>
          <t>COMMERCIAL BLOCK HEADER — no quantity.</t>
        </is>
      </c>
      <c r="J243" s="62" t="inlineStr">
        <is>
          <t>export_layer</t>
        </is>
      </c>
      <c r="K243" s="62" t="inlineStr">
        <is>
          <t>insert_commercial_block_headers</t>
        </is>
      </c>
      <c r="L243" s="62" t="inlineStr">
        <is>
          <t>HIGH</t>
        </is>
      </c>
    </row>
    <row r="244">
      <c r="A244" s="62" t="inlineStr"/>
      <c r="B244" s="62" t="inlineStr">
        <is>
          <t>50117</t>
        </is>
      </c>
      <c r="C244" s="62" t="inlineStr"/>
      <c r="D244" s="62" t="inlineStr">
        <is>
          <t>[COMMERCIAL BLOCK] Plumbing Fixtures</t>
        </is>
      </c>
      <c r="E244" s="62" t="inlineStr">
        <is>
          <t>Plumbing Fixtures</t>
        </is>
      </c>
      <c r="F244" s="62" t="n"/>
      <c r="G244" s="62" t="n"/>
      <c r="H244" s="62" t="inlineStr">
        <is>
          <t>export_only_grouping</t>
        </is>
      </c>
      <c r="I244" s="62" t="inlineStr">
        <is>
          <t>COMMERCIAL BLOCK HEADER — no quantity.</t>
        </is>
      </c>
      <c r="J244" s="62" t="inlineStr">
        <is>
          <t>export_layer</t>
        </is>
      </c>
      <c r="K244" s="62" t="inlineStr">
        <is>
          <t>insert_commercial_block_headers</t>
        </is>
      </c>
      <c r="L244" s="62" t="inlineStr">
        <is>
          <t>HIGH</t>
        </is>
      </c>
    </row>
    <row r="245">
      <c r="A245" s="62" t="inlineStr"/>
      <c r="B245" s="62" t="inlineStr">
        <is>
          <t>50117</t>
        </is>
      </c>
      <c r="C245" s="62" t="inlineStr"/>
      <c r="D245" s="62" t="inlineStr">
        <is>
          <t>[COMMERCIAL BLOCK] Wet Area Finishes</t>
        </is>
      </c>
      <c r="E245" s="62" t="inlineStr">
        <is>
          <t>Wet Area Finishes</t>
        </is>
      </c>
      <c r="F245" s="62" t="n"/>
      <c r="G245" s="62" t="n"/>
      <c r="H245" s="62" t="inlineStr">
        <is>
          <t>export_only_grouping</t>
        </is>
      </c>
      <c r="I245" s="62" t="inlineStr">
        <is>
          <t>COMMERCIAL BLOCK HEADER — no quantity.</t>
        </is>
      </c>
      <c r="J245" s="62" t="inlineStr">
        <is>
          <t>export_layer</t>
        </is>
      </c>
      <c r="K245" s="62" t="inlineStr">
        <is>
          <t>insert_commercial_block_headers</t>
        </is>
      </c>
      <c r="L245" s="62" t="inlineStr">
        <is>
          <t>HIGH</t>
        </is>
      </c>
    </row>
    <row r="246">
      <c r="A246" s="62" t="inlineStr"/>
      <c r="B246" s="62" t="inlineStr">
        <is>
          <t>50117</t>
        </is>
      </c>
      <c r="C246" s="62" t="inlineStr"/>
      <c r="D246" s="62" t="inlineStr">
        <is>
          <t>[COMMERCIAL BLOCK] Water Services</t>
        </is>
      </c>
      <c r="E246" s="62" t="inlineStr">
        <is>
          <t>Water Services</t>
        </is>
      </c>
      <c r="F246" s="62" t="n"/>
      <c r="G246" s="62" t="n"/>
      <c r="H246" s="62" t="inlineStr">
        <is>
          <t>export_only_grouping</t>
        </is>
      </c>
      <c r="I246" s="62" t="inlineStr">
        <is>
          <t>COMMERCIAL BLOCK HEADER — no quantity.</t>
        </is>
      </c>
      <c r="J246" s="62" t="inlineStr">
        <is>
          <t>export_layer</t>
        </is>
      </c>
      <c r="K246" s="62" t="inlineStr">
        <is>
          <t>insert_commercial_block_headers</t>
        </is>
      </c>
      <c r="L246" s="62" t="inlineStr">
        <is>
          <t>HIGH</t>
        </is>
      </c>
    </row>
    <row r="247">
      <c r="A247" s="62" t="inlineStr"/>
      <c r="B247" s="62" t="inlineStr">
        <is>
          <t>50117</t>
        </is>
      </c>
      <c r="C247" s="62" t="inlineStr"/>
      <c r="D247" s="62" t="inlineStr">
        <is>
          <t>[COMMERCIAL BLOCK] Builder's Works</t>
        </is>
      </c>
      <c r="E247" s="62" t="inlineStr">
        <is>
          <t>Builder's Works</t>
        </is>
      </c>
      <c r="F247" s="62" t="n"/>
      <c r="G247" s="62" t="n"/>
      <c r="H247" s="62" t="inlineStr">
        <is>
          <t>export_only_grouping</t>
        </is>
      </c>
      <c r="I247" s="62" t="inlineStr">
        <is>
          <t>COMMERCIAL BLOCK HEADER — no quantity.</t>
        </is>
      </c>
      <c r="J247" s="62" t="inlineStr">
        <is>
          <t>export_layer</t>
        </is>
      </c>
      <c r="K247" s="62" t="inlineStr">
        <is>
          <t>insert_commercial_block_headers</t>
        </is>
      </c>
      <c r="L247" s="62" t="inlineStr">
        <is>
          <t>HIGH</t>
        </is>
      </c>
    </row>
    <row r="248">
      <c r="A248" s="62" t="inlineStr"/>
      <c r="B248" s="62" t="inlineStr">
        <is>
          <t>50119</t>
        </is>
      </c>
      <c r="C248" s="62" t="inlineStr"/>
      <c r="D248" s="62" t="inlineStr">
        <is>
          <t>[COMMERCIAL BLOCK] Switchboard &amp; Protection</t>
        </is>
      </c>
      <c r="E248" s="62" t="inlineStr">
        <is>
          <t>Switchboard &amp; Protection</t>
        </is>
      </c>
      <c r="F248" s="62" t="n"/>
      <c r="G248" s="62" t="n"/>
      <c r="H248" s="62" t="inlineStr">
        <is>
          <t>export_only_grouping</t>
        </is>
      </c>
      <c r="I248" s="62" t="inlineStr">
        <is>
          <t>COMMERCIAL BLOCK HEADER — no quantity.</t>
        </is>
      </c>
      <c r="J248" s="62" t="inlineStr">
        <is>
          <t>export_layer</t>
        </is>
      </c>
      <c r="K248" s="62" t="inlineStr">
        <is>
          <t>insert_commercial_block_headers</t>
        </is>
      </c>
      <c r="L248" s="62" t="inlineStr">
        <is>
          <t>HIGH</t>
        </is>
      </c>
    </row>
    <row r="249">
      <c r="A249" s="62" t="inlineStr"/>
      <c r="B249" s="62" t="inlineStr">
        <is>
          <t>50119</t>
        </is>
      </c>
      <c r="C249" s="62" t="inlineStr"/>
      <c r="D249" s="62" t="inlineStr">
        <is>
          <t>[COMMERCIAL BLOCK] Ventilation</t>
        </is>
      </c>
      <c r="E249" s="62" t="inlineStr">
        <is>
          <t>Ventilation</t>
        </is>
      </c>
      <c r="F249" s="62" t="n"/>
      <c r="G249" s="62" t="n"/>
      <c r="H249" s="62" t="inlineStr">
        <is>
          <t>export_only_grouping</t>
        </is>
      </c>
      <c r="I249" s="62" t="inlineStr">
        <is>
          <t>COMMERCIAL BLOCK HEADER — no quantity.</t>
        </is>
      </c>
      <c r="J249" s="62" t="inlineStr">
        <is>
          <t>export_layer</t>
        </is>
      </c>
      <c r="K249" s="62" t="inlineStr">
        <is>
          <t>insert_commercial_block_headers</t>
        </is>
      </c>
      <c r="L249" s="62" t="inlineStr">
        <is>
          <t>HIGH</t>
        </is>
      </c>
    </row>
    <row r="250">
      <c r="A250" s="62" t="inlineStr"/>
      <c r="B250" s="62" t="inlineStr">
        <is>
          <t>50119</t>
        </is>
      </c>
      <c r="C250" s="62" t="inlineStr"/>
      <c r="D250" s="62" t="inlineStr">
        <is>
          <t>[COMMERCIAL BLOCK] Safety Devices</t>
        </is>
      </c>
      <c r="E250" s="62" t="inlineStr">
        <is>
          <t>Safety Devices</t>
        </is>
      </c>
      <c r="F250" s="62" t="n"/>
      <c r="G250" s="62" t="n"/>
      <c r="H250" s="62" t="inlineStr">
        <is>
          <t>export_only_grouping</t>
        </is>
      </c>
      <c r="I250" s="62" t="inlineStr">
        <is>
          <t>COMMERCIAL BLOCK HEADER — no quantity.</t>
        </is>
      </c>
      <c r="J250" s="62" t="inlineStr">
        <is>
          <t>export_layer</t>
        </is>
      </c>
      <c r="K250" s="62" t="inlineStr">
        <is>
          <t>insert_commercial_block_headers</t>
        </is>
      </c>
      <c r="L250" s="62" t="inlineStr">
        <is>
          <t>HIGH</t>
        </is>
      </c>
    </row>
    <row r="251">
      <c r="A251" s="62" t="inlineStr"/>
      <c r="B251" s="62" t="inlineStr">
        <is>
          <t>50119</t>
        </is>
      </c>
      <c r="C251" s="62" t="inlineStr"/>
      <c r="D251" s="62" t="inlineStr">
        <is>
          <t>[COMMERCIAL BLOCK] Mechanical</t>
        </is>
      </c>
      <c r="E251" s="62" t="inlineStr">
        <is>
          <t>Mechanical</t>
        </is>
      </c>
      <c r="F251" s="62" t="n"/>
      <c r="G251" s="62" t="n"/>
      <c r="H251" s="62" t="inlineStr">
        <is>
          <t>export_only_grouping</t>
        </is>
      </c>
      <c r="I251" s="62" t="inlineStr">
        <is>
          <t>COMMERCIAL BLOCK HEADER — no quantity.</t>
        </is>
      </c>
      <c r="J251" s="62" t="inlineStr">
        <is>
          <t>export_layer</t>
        </is>
      </c>
      <c r="K251" s="62" t="inlineStr">
        <is>
          <t>insert_commercial_block_headers</t>
        </is>
      </c>
      <c r="L251" s="62" t="inlineStr">
        <is>
          <t>HIGH</t>
        </is>
      </c>
    </row>
    <row r="252">
      <c r="A252" s="62" t="inlineStr"/>
      <c r="B252" s="62" t="inlineStr">
        <is>
          <t>50119</t>
        </is>
      </c>
      <c r="C252" s="62" t="inlineStr"/>
      <c r="D252" s="62" t="inlineStr">
        <is>
          <t>[COMMERCIAL BLOCK] Builder's Works</t>
        </is>
      </c>
      <c r="E252" s="62" t="inlineStr">
        <is>
          <t>Builder's Works</t>
        </is>
      </c>
      <c r="F252" s="62" t="n"/>
      <c r="G252" s="62" t="n"/>
      <c r="H252" s="62" t="inlineStr">
        <is>
          <t>export_only_grouping</t>
        </is>
      </c>
      <c r="I252" s="62" t="inlineStr">
        <is>
          <t>COMMERCIAL BLOCK HEADER — no quantity.</t>
        </is>
      </c>
      <c r="J252" s="62" t="inlineStr">
        <is>
          <t>export_layer</t>
        </is>
      </c>
      <c r="K252" s="62" t="inlineStr">
        <is>
          <t>insert_commercial_block_headers</t>
        </is>
      </c>
      <c r="L252" s="62" t="inlineStr">
        <is>
          <t>HIGH</t>
        </is>
      </c>
    </row>
    <row r="253">
      <c r="A253" s="62" t="inlineStr"/>
      <c r="B253" s="62" t="inlineStr">
        <is>
          <t>50124</t>
        </is>
      </c>
      <c r="C253" s="62" t="inlineStr"/>
      <c r="D253" s="62" t="inlineStr">
        <is>
          <t>[COMMERCIAL BLOCK] Stairs</t>
        </is>
      </c>
      <c r="E253" s="62" t="inlineStr">
        <is>
          <t>Stairs</t>
        </is>
      </c>
      <c r="F253" s="62" t="n"/>
      <c r="G253" s="62" t="n"/>
      <c r="H253" s="62" t="inlineStr">
        <is>
          <t>export_only_grouping</t>
        </is>
      </c>
      <c r="I253" s="62" t="inlineStr">
        <is>
          <t>COMMERCIAL BLOCK HEADER — no quantity.</t>
        </is>
      </c>
      <c r="J253" s="62" t="inlineStr">
        <is>
          <t>export_layer</t>
        </is>
      </c>
      <c r="K253" s="62" t="inlineStr">
        <is>
          <t>insert_commercial_block_headers</t>
        </is>
      </c>
      <c r="L253" s="62" t="inlineStr">
        <is>
          <t>HIGH</t>
        </is>
      </c>
    </row>
    <row r="254">
      <c r="A254" s="62" t="inlineStr"/>
      <c r="B254" s="62" t="inlineStr">
        <is>
          <t>50124</t>
        </is>
      </c>
      <c r="C254" s="62" t="inlineStr"/>
      <c r="D254" s="62" t="inlineStr">
        <is>
          <t>[COMMERCIAL BLOCK] Steel Ramp</t>
        </is>
      </c>
      <c r="E254" s="62" t="inlineStr">
        <is>
          <t>Steel Ramp</t>
        </is>
      </c>
      <c r="F254" s="62" t="n"/>
      <c r="G254" s="62" t="n"/>
      <c r="H254" s="62" t="inlineStr">
        <is>
          <t>export_only_grouping</t>
        </is>
      </c>
      <c r="I254" s="62" t="inlineStr">
        <is>
          <t>COMMERCIAL BLOCK HEADER — no quantity.</t>
        </is>
      </c>
      <c r="J254" s="62" t="inlineStr">
        <is>
          <t>export_layer</t>
        </is>
      </c>
      <c r="K254" s="62" t="inlineStr">
        <is>
          <t>insert_commercial_block_headers</t>
        </is>
      </c>
      <c r="L254" s="62" t="inlineStr">
        <is>
          <t>HIGH</t>
        </is>
      </c>
    </row>
    <row r="255">
      <c r="A255" s="62" t="inlineStr"/>
      <c r="B255" s="62" t="inlineStr">
        <is>
          <t>50124</t>
        </is>
      </c>
      <c r="C255" s="62" t="inlineStr"/>
      <c r="D255" s="62" t="inlineStr">
        <is>
          <t>[COMMERCIAL BLOCK] Balustrades</t>
        </is>
      </c>
      <c r="E255" s="62" t="inlineStr">
        <is>
          <t>Balustrades</t>
        </is>
      </c>
      <c r="F255" s="62" t="n"/>
      <c r="G255" s="62" t="n"/>
      <c r="H255" s="62" t="inlineStr">
        <is>
          <t>export_only_grouping</t>
        </is>
      </c>
      <c r="I255" s="62" t="inlineStr">
        <is>
          <t>COMMERCIAL BLOCK HEADER — no quantity.</t>
        </is>
      </c>
      <c r="J255" s="62" t="inlineStr">
        <is>
          <t>export_layer</t>
        </is>
      </c>
      <c r="K255" s="62" t="inlineStr">
        <is>
          <t>insert_commercial_block_headers</t>
        </is>
      </c>
      <c r="L255" s="62" t="inlineStr">
        <is>
          <t>HIGH</t>
        </is>
      </c>
    </row>
    <row r="256">
      <c r="A256" s="62" t="inlineStr"/>
      <c r="B256" s="62" t="inlineStr">
        <is>
          <t>50124</t>
        </is>
      </c>
      <c r="C256" s="62" t="inlineStr"/>
      <c r="D256" s="62" t="inlineStr">
        <is>
          <t>[COMMERCIAL BLOCK] Verandah Balustrade</t>
        </is>
      </c>
      <c r="E256" s="62" t="inlineStr">
        <is>
          <t>Verandah Balustrade</t>
        </is>
      </c>
      <c r="F256" s="62" t="n"/>
      <c r="G256" s="62" t="n"/>
      <c r="H256" s="62" t="inlineStr">
        <is>
          <t>export_only_grouping</t>
        </is>
      </c>
      <c r="I256" s="62" t="inlineStr">
        <is>
          <t>COMMERCIAL BLOCK HEADER — no quantity.</t>
        </is>
      </c>
      <c r="J256" s="62" t="inlineStr">
        <is>
          <t>export_layer</t>
        </is>
      </c>
      <c r="K256" s="62" t="inlineStr">
        <is>
          <t>insert_commercial_block_headers</t>
        </is>
      </c>
      <c r="L256" s="62" t="inlineStr">
        <is>
          <t>HIGH</t>
        </is>
      </c>
    </row>
    <row r="257">
      <c r="A257" s="62" t="inlineStr"/>
      <c r="B257" s="62" t="inlineStr">
        <is>
          <t>50129</t>
        </is>
      </c>
      <c r="C257" s="62" t="inlineStr"/>
      <c r="D257" s="62" t="inlineStr">
        <is>
          <t>[COMMERCIAL BLOCK] Dispensary / Prep Area</t>
        </is>
      </c>
      <c r="E257" s="62" t="inlineStr">
        <is>
          <t>Dispensary / Prep Area</t>
        </is>
      </c>
      <c r="F257" s="62" t="n"/>
      <c r="G257" s="62" t="n"/>
      <c r="H257" s="62" t="inlineStr">
        <is>
          <t>export_only_grouping</t>
        </is>
      </c>
      <c r="I257" s="62" t="inlineStr">
        <is>
          <t>COMMERCIAL BLOCK HEADER — no quantity.</t>
        </is>
      </c>
      <c r="J257" s="62" t="inlineStr">
        <is>
          <t>export_layer</t>
        </is>
      </c>
      <c r="K257" s="62" t="inlineStr">
        <is>
          <t>insert_commercial_block_headers</t>
        </is>
      </c>
      <c r="L257" s="62" t="inlineStr">
        <is>
          <t>HIGH</t>
        </is>
      </c>
    </row>
    <row r="258">
      <c r="A258" s="62" t="inlineStr"/>
      <c r="B258" s="62" t="inlineStr">
        <is>
          <t>50129</t>
        </is>
      </c>
      <c r="C258" s="62" t="inlineStr"/>
      <c r="D258" s="62" t="inlineStr">
        <is>
          <t>[COMMERCIAL BLOCK] Consulting Room</t>
        </is>
      </c>
      <c r="E258" s="62" t="inlineStr">
        <is>
          <t>Consulting Room</t>
        </is>
      </c>
      <c r="F258" s="62" t="n"/>
      <c r="G258" s="62" t="n"/>
      <c r="H258" s="62" t="inlineStr">
        <is>
          <t>export_only_grouping</t>
        </is>
      </c>
      <c r="I258" s="62" t="inlineStr">
        <is>
          <t>COMMERCIAL BLOCK HEADER — no quantity.</t>
        </is>
      </c>
      <c r="J258" s="62" t="inlineStr">
        <is>
          <t>export_layer</t>
        </is>
      </c>
      <c r="K258" s="62" t="inlineStr">
        <is>
          <t>insert_commercial_block_headers</t>
        </is>
      </c>
      <c r="L258" s="62" t="inlineStr">
        <is>
          <t>HIGH</t>
        </is>
      </c>
    </row>
    <row r="259">
      <c r="A259" s="62" t="inlineStr"/>
      <c r="B259" s="62" t="inlineStr">
        <is>
          <t>50129</t>
        </is>
      </c>
      <c r="C259" s="62" t="inlineStr"/>
      <c r="D259" s="62" t="inlineStr">
        <is>
          <t>[COMMERCIAL BLOCK] Toilets / Amenities</t>
        </is>
      </c>
      <c r="E259" s="62" t="inlineStr">
        <is>
          <t>Toilets / Amenities</t>
        </is>
      </c>
      <c r="F259" s="62" t="n"/>
      <c r="G259" s="62" t="n"/>
      <c r="H259" s="62" t="inlineStr">
        <is>
          <t>export_only_grouping</t>
        </is>
      </c>
      <c r="I259" s="62" t="inlineStr">
        <is>
          <t>COMMERCIAL BLOCK HEADER — no quantity.</t>
        </is>
      </c>
      <c r="J259" s="62" t="inlineStr">
        <is>
          <t>export_layer</t>
        </is>
      </c>
      <c r="K259" s="62" t="inlineStr">
        <is>
          <t>insert_commercial_block_headers</t>
        </is>
      </c>
      <c r="L259" s="6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8" customWidth="1" min="3" max="3"/>
    <col width="6" customWidth="1" min="4" max="4"/>
    <col width="10" customWidth="1" min="5" max="5"/>
    <col width="10" customWidth="1" min="6" max="6"/>
    <col width="12" customWidth="1" min="7" max="7"/>
    <col width="60" customWidth="1" min="8" max="8"/>
  </cols>
  <sheetData>
    <row r="1">
      <c r="A1" s="2" t="inlineStr">
        <is>
          <t>Item No</t>
        </is>
      </c>
      <c r="B1" s="2" t="inlineStr">
        <is>
          <t>Package Code</t>
        </is>
      </c>
      <c r="C1" s="2" t="inlineStr">
        <is>
          <t>Item Display Name</t>
        </is>
      </c>
      <c r="D1" s="2" t="inlineStr">
        <is>
          <t>Unit</t>
        </is>
      </c>
      <c r="E1" s="2" t="inlineStr">
        <is>
          <t>Qty</t>
        </is>
      </c>
      <c r="F1" s="2" t="inlineStr">
        <is>
          <t>Confidence</t>
        </is>
      </c>
      <c r="G1" s="2" t="inlineStr">
        <is>
          <t>Status</t>
        </is>
      </c>
      <c r="H1" s="2" t="inlineStr">
        <is>
          <t>Notes / Action Required</t>
        </is>
      </c>
    </row>
    <row r="2">
      <c r="A2" s="63" t="inlineStr">
        <is>
          <t>F04</t>
        </is>
      </c>
      <c r="B2" s="63" t="inlineStr">
        <is>
          <t>50106</t>
        </is>
      </c>
      <c r="C2" s="63" t="inlineStr">
        <is>
          <t>Floor Finish | Vinyl Plank (Dry Zone)</t>
        </is>
      </c>
      <c r="D2" s="63" t="inlineStr">
        <is>
          <t>m2</t>
        </is>
      </c>
      <c r="E2" s="63" t="n">
        <v>60.3</v>
      </c>
      <c r="F2" s="63" t="inlineStr">
        <is>
          <t>LOW</t>
        </is>
      </c>
      <c r="G2" s="63" t="inlineStr">
        <is>
          <t>calculated</t>
        </is>
      </c>
      <c r="H2" s="63" t="inlineStr">
        <is>
          <t>MANUAL REVIEW REQUIRED. [Zone: internal_dry] Vinyl plank finish for 5 dry internal space(s). Verandah (21.6 m²) excluded — WPC decking in K-package. CONFIG-BACKED FALLBACK: Space areas from config room_schedule only. No room polygons in DXF; no IfcSpace in IFC. These are estimated areas — verify all room dimensions from architectural drawings.  LAYERED ASSEMBLY — FINISH LAYER: this row is the finish above the FC sheet substrate (G-package, 64.80 m² total internal substrate). Substrate covers all internal zones; finish type differs per zone. External verandah (21.6 m²) uses WPC decking (K-package) — no FC substrate and no finish row here.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3">
      <c r="A3" s="63" t="inlineStr">
        <is>
          <t>F05</t>
        </is>
      </c>
      <c r="B3" s="63" t="inlineStr">
        <is>
          <t>50106</t>
        </is>
      </c>
      <c r="C3" s="63" t="inlineStr">
        <is>
          <t>Vinyl Plank — Supply Total (10% cut waste)</t>
        </is>
      </c>
      <c r="D3" s="63" t="inlineStr">
        <is>
          <t>m2</t>
        </is>
      </c>
      <c r="E3" s="63" t="n">
        <v>66.3</v>
      </c>
      <c r="F3" s="63" t="inlineStr">
        <is>
          <t>LOW</t>
        </is>
      </c>
      <c r="G3" s="63" t="inlineStr">
        <is>
          <t>calculated</t>
        </is>
      </c>
      <c r="H3" s="63" t="inlineStr">
        <is>
          <t>MANUAL REVIEW REQUIRED. [Zone: internal_dry] Vinyl plank supply: 60.30m² net + 10% cut waste = 66.3m². 10% is standard for rectangular rooms with plank direction runs. Adjust for irregular layout or diagonal pattern. Spec: LVT/SPC vinyl plank — thickness and finish to be confirmed by architect.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4">
      <c r="A4" s="63" t="inlineStr">
        <is>
          <t>F06</t>
        </is>
      </c>
      <c r="B4" s="63" t="inlineStr">
        <is>
          <t>50106</t>
        </is>
      </c>
      <c r="C4" s="63" t="inlineStr">
        <is>
          <t>Floor Finish | Ceramic Tile (Wet Zone)</t>
        </is>
      </c>
      <c r="D4" s="63" t="inlineStr">
        <is>
          <t>m2</t>
        </is>
      </c>
      <c r="E4" s="63" t="n">
        <v>4.5</v>
      </c>
      <c r="F4" s="63" t="inlineStr">
        <is>
          <t>LOW</t>
        </is>
      </c>
      <c r="G4" s="63" t="inlineStr">
        <is>
          <t>calculated</t>
        </is>
      </c>
      <c r="H4" s="63" t="inlineStr">
        <is>
          <t>MANUAL REVIEW REQUIRED. [Zone: internal_wet] Ceramic tile (non-slip) for wet space(s): Toilet (4.50 m²). CONFIG-BACKED FALLBACK: Space areas from config room_schedule only. No room polygons in DXF; no IfcSpace in IFC. These are estimated areas — verify all room dimensions from architectural drawings. Verify wet zone classification with architect.   LAYERED ASSEMBLY — FINISH LAYER: this row is the finish above the FC sheet substrate (G-package, 64.80 m² total internal substrate). Substrate covers all internal zones; finish type differs per zone. External verandah (21.6 m²) uses WPC decking (K-package) — no FC substrate and no finish row here.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5">
      <c r="A5" s="63" t="inlineStr">
        <is>
          <t>F07</t>
        </is>
      </c>
      <c r="B5" s="63" t="inlineStr">
        <is>
          <t>50106</t>
        </is>
      </c>
      <c r="C5" s="63" t="inlineStr">
        <is>
          <t>Ceramic Floor Tile — Supply Total (15% cut waste)</t>
        </is>
      </c>
      <c r="D5" s="63" t="inlineStr">
        <is>
          <t>m2</t>
        </is>
      </c>
      <c r="E5" s="63" t="n">
        <v>5.17</v>
      </c>
      <c r="F5" s="63" t="inlineStr">
        <is>
          <t>LOW</t>
        </is>
      </c>
      <c r="G5" s="63" t="inlineStr">
        <is>
          <t>calculated</t>
        </is>
      </c>
      <c r="H5" s="63" t="inlineStr">
        <is>
          <t>MANUAL REVIEW REQUIRED. Ceramic floor tile supply order quantity = 4.50m² net area + 15% cut waste = 5.17m². 15% is standard for square tiles in a regular wet room. Tile spec (size, finish, slip rating) to be confirmed by architect. Verify with wet area tile schedule before ordering.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6">
      <c r="A6" s="63" t="inlineStr">
        <is>
          <t>F08</t>
        </is>
      </c>
      <c r="B6" s="63" t="inlineStr">
        <is>
          <t>50106</t>
        </is>
      </c>
      <c r="C6" s="63" t="inlineStr">
        <is>
          <t>Floor Tile Adhesive — Wet Area (20kg bag)</t>
        </is>
      </c>
      <c r="D6" s="63" t="inlineStr">
        <is>
          <t>bags</t>
        </is>
      </c>
      <c r="E6" s="63" t="n">
        <v>2</v>
      </c>
      <c r="F6" s="63" t="inlineStr">
        <is>
          <t>LOW</t>
        </is>
      </c>
      <c r="G6" s="63" t="inlineStr">
        <is>
          <t>calculated</t>
        </is>
      </c>
      <c r="H6" s="63" t="inlineStr">
        <is>
          <t>MANUAL REVIEW REQUIRED. 20kg bag of tile adhesive ≈ 4 m² coverage on floor. Verify tile size and spec.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7">
      <c r="A7" s="63" t="inlineStr">
        <is>
          <t>F09</t>
        </is>
      </c>
      <c r="B7" s="63" t="inlineStr">
        <is>
          <t>50106</t>
        </is>
      </c>
      <c r="C7" s="63" t="inlineStr">
        <is>
          <t>Floor Tile Grout — Wet Area (3kg bag)</t>
        </is>
      </c>
      <c r="D7" s="63" t="inlineStr">
        <is>
          <t>bags</t>
        </is>
      </c>
      <c r="E7" s="63" t="n">
        <v>1</v>
      </c>
      <c r="F7" s="63" t="inlineStr">
        <is>
          <t>LOW</t>
        </is>
      </c>
      <c r="G7" s="63" t="inlineStr">
        <is>
          <t>calculated</t>
        </is>
      </c>
      <c r="H7" s="63" t="inlineStr">
        <is>
          <t>MANUAL REVIEW REQUIRED. 3kg bag of grout ≈ 6 m² floor tile coverage. Adjust for joint width and tile size.  ALIGNMENT ADVISORY: This quantity is config-backed (no schedule found in source documents). To promote confidence: (1) provide a room schedule with confirmed areas, (2) provide a finish schedule from drawings, (3) or confirm via site measurement.</t>
        </is>
      </c>
    </row>
    <row r="8">
      <c r="A8" s="63" t="inlineStr">
        <is>
          <t>F12</t>
        </is>
      </c>
      <c r="B8" s="63" t="inlineStr">
        <is>
          <t>50106</t>
        </is>
      </c>
      <c r="C8" s="63" t="inlineStr">
        <is>
          <t>Paint | Wall / Ceiling</t>
        </is>
      </c>
      <c r="D8" s="63" t="inlineStr">
        <is>
          <t>cans</t>
        </is>
      </c>
      <c r="E8" s="63" t="n">
        <v>24</v>
      </c>
      <c r="F8" s="63" t="inlineStr">
        <is>
          <t>LOW</t>
        </is>
      </c>
      <c r="G8" s="63" t="inlineStr">
        <is>
          <t>calculated</t>
        </is>
      </c>
      <c r="H8" s="63" t="inlineStr">
        <is>
          <t>MANUAL REVIEW REQUIRED. Primer/sealer for FC sheet surfaces before topcoat. 10L can ≈ 12 m² at 1 coat. Adjust for 2-coat system and specific product coverage. Verify primer type (FC-compatible acrylic sealer) with painter.</t>
        </is>
      </c>
    </row>
    <row r="9">
      <c r="A9" s="63" t="inlineStr">
        <is>
          <t>G01</t>
        </is>
      </c>
      <c r="B9" s="63" t="inlineStr">
        <is>
          <t>50107</t>
        </is>
      </c>
      <c r="C9" s="63" t="inlineStr">
        <is>
          <t>Floor Cassette Panel</t>
        </is>
      </c>
      <c r="D9" s="63" t="inlineStr">
        <is>
          <t>nr</t>
        </is>
      </c>
      <c r="E9" s="63" t="n">
        <v>9</v>
      </c>
      <c r="F9" s="63" t="inlineStr">
        <is>
          <t>MEDIUM</t>
        </is>
      </c>
      <c r="G9" s="63" t="inlineStr">
        <is>
          <t>calculated</t>
        </is>
      </c>
      <c r="H9" s="63" t="inlineStr">
        <is>
          <t>MANUAL REVIEW REQUIRED. Panel count calculated from DWG-measured floor area / per-panel area (7.182m²). Panel width=3000mm (from E1/E2 edge beam length, HIGH confidence). Panel depth=2394mm (from J1/S1/S2 span length, HIGH confidence). Count=9 MEDIUM confidence — verify from FrameCAD floor panel layout.</t>
        </is>
      </c>
    </row>
    <row r="10">
      <c r="A10" s="63" t="inlineStr">
        <is>
          <t>G02</t>
        </is>
      </c>
      <c r="B10" s="63" t="inlineStr">
        <is>
          <t>50107</t>
        </is>
      </c>
      <c r="C10" s="63" t="inlineStr">
        <is>
          <t>Floor Cassette Panel</t>
        </is>
      </c>
      <c r="D10" s="63" t="inlineStr">
        <is>
          <t>m2</t>
        </is>
      </c>
      <c r="E10" s="63" t="n">
        <v>64.64</v>
      </c>
      <c r="F10" s="63" t="inlineStr">
        <is>
          <t>MEDIUM</t>
        </is>
      </c>
      <c r="G10" s="63" t="inlineStr">
        <is>
          <t>calculated</t>
        </is>
      </c>
      <c r="H10" s="63" t="inlineStr">
        <is>
          <t>MANUAL REVIEW REQUIRED. Total floor cassette panel area = 9 panels × 7.182m² (3000mm × 2394mm each). Cross-check: main_floor_area from DXF = 64.80m². Verify panel count and area against FrameCAD floor panel layout tab before ordering.</t>
        </is>
      </c>
    </row>
    <row r="11">
      <c r="A11" s="63" t="inlineStr">
        <is>
          <t>G03</t>
        </is>
      </c>
      <c r="B11" s="63" t="inlineStr">
        <is>
          <t>50107</t>
        </is>
      </c>
      <c r="C11" s="63" t="inlineStr">
        <is>
          <t>Floor Joist</t>
        </is>
      </c>
      <c r="D11" s="63" t="inlineStr">
        <is>
          <t>nr</t>
        </is>
      </c>
      <c r="E11" s="63" t="n">
        <v>63</v>
      </c>
      <c r="F11" s="63" t="inlineStr">
        <is>
          <t>MEDIUM</t>
        </is>
      </c>
      <c r="G11" s="63" t="inlineStr">
        <is>
          <t>calculated</t>
        </is>
      </c>
      <c r="H11" s="63" t="inlineStr">
        <is>
          <t>MANUAL REVIEW REQUIRED. Profile: 150S41-095-500, length: 2394mm. 7 joists per panel — HIGH confidence from DWG Onpage FLayout member schedule. Panel count 9 is MEDIUM (area-derived). Total: 7 × 9 = 63 nr. Total lm: 150.82 lm (63 × 2.394m). Verify panel count against FrameCAD floor panel layout before ordering.</t>
        </is>
      </c>
    </row>
    <row r="12">
      <c r="A12" s="63" t="inlineStr">
        <is>
          <t>G05</t>
        </is>
      </c>
      <c r="B12" s="63" t="inlineStr">
        <is>
          <t>50107</t>
        </is>
      </c>
      <c r="C12" s="63" t="inlineStr">
        <is>
          <t>Floor Edge Beam</t>
        </is>
      </c>
      <c r="D12" s="63" t="inlineStr">
        <is>
          <t>nr</t>
        </is>
      </c>
      <c r="E12" s="63" t="n">
        <v>18</v>
      </c>
      <c r="F12" s="63" t="inlineStr">
        <is>
          <t>MEDIUM</t>
        </is>
      </c>
      <c r="G12" s="63" t="inlineStr">
        <is>
          <t>calculated</t>
        </is>
      </c>
      <c r="H12" s="63" t="inlineStr">
        <is>
          <t>MANUAL REVIEW REQUIRED. Profile: 150P41-115-500, length: 3000mm. 2 edge beams per panel (E1×1 + E2×1 — HIGH from DWG schedule). Total: 2 × 9 = 18 nr. Total lm: 54.00 lm.</t>
        </is>
      </c>
    </row>
    <row r="13">
      <c r="A13" s="63" t="inlineStr">
        <is>
          <t>G07</t>
        </is>
      </c>
      <c r="B13" s="63" t="inlineStr">
        <is>
          <t>50107</t>
        </is>
      </c>
      <c r="C13" s="63" t="inlineStr">
        <is>
          <t>Floor Stringer</t>
        </is>
      </c>
      <c r="D13" s="63" t="inlineStr">
        <is>
          <t>nr</t>
        </is>
      </c>
      <c r="E13" s="63" t="n">
        <v>18</v>
      </c>
      <c r="F13" s="63" t="inlineStr">
        <is>
          <t>MEDIUM</t>
        </is>
      </c>
      <c r="G13" s="63" t="inlineStr">
        <is>
          <t>calculated</t>
        </is>
      </c>
      <c r="H13" s="63" t="inlineStr">
        <is>
          <t>MANUAL REVIEW REQUIRED. Profile: 150S41-115-500, length: 2394mm. 2 stringers per panel (S1×1 + S2×1 — HIGH from DWG schedule). Total: 2 × 9 = 18 nr. Total lm: 43.09 lm.</t>
        </is>
      </c>
    </row>
    <row r="14">
      <c r="A14" s="63" t="inlineStr">
        <is>
          <t>G09</t>
        </is>
      </c>
      <c r="B14" s="63" t="inlineStr">
        <is>
          <t>50107</t>
        </is>
      </c>
      <c r="C14" s="63" t="inlineStr">
        <is>
          <t>Floor Bearer | LGS</t>
        </is>
      </c>
      <c r="D14" s="63" t="inlineStr">
        <is>
          <t>nr</t>
        </is>
      </c>
      <c r="E14" s="63" t="n">
        <v>2</v>
      </c>
      <c r="F14" s="63" t="inlineStr">
        <is>
          <t>MEDIUM</t>
        </is>
      </c>
      <c r="G14" s="63" t="inlineStr">
        <is>
          <t>calculated</t>
        </is>
      </c>
      <c r="H14" s="63" t="inlineStr">
        <is>
          <t>MANUAL REVIEW REQUIRED. Number of internal floor bearer lines. DWG panel depth = 2394mm → 3 rows across 7.2m span. Perimeter boundaries bear on strip footings (no separate bearer). Internal lines = 3−1 = 2 nr. Each bearer runs the full building run — see 'lm' row below for ordering length.</t>
        </is>
      </c>
    </row>
    <row r="15">
      <c r="A15" s="63" t="inlineStr">
        <is>
          <t>G10</t>
        </is>
      </c>
      <c r="B15" s="63" t="inlineStr">
        <is>
          <t>50107</t>
        </is>
      </c>
      <c r="C15" s="63" t="inlineStr">
        <is>
          <t>Floor Bearer | LGS</t>
        </is>
      </c>
      <c r="D15" s="63" t="inlineStr">
        <is>
          <t>lm</t>
        </is>
      </c>
      <c r="E15" s="63" t="n">
        <v>18</v>
      </c>
      <c r="F15" s="63" t="inlineStr">
        <is>
          <t>MEDIUM</t>
        </is>
      </c>
      <c r="G15" s="63" t="inlineStr">
        <is>
          <t>calculated</t>
        </is>
      </c>
      <c r="H15" s="63" t="inlineStr">
        <is>
          <t>MANUAL REVIEW REQUIRED. Internal floor bearer / support beam at joist-end bearing positions. DWG panel depth = 2394mm → 3 rows across 7.2m span. Perimeter boundary lines bear on strip footings (no separate member needed). 2 internal lines × 9.0m = 18.0 lm. Bearer section (SHS/RHS or engineered timber) to be confirmed from structural drawings. Verify with FrameCAD engineer.</t>
        </is>
      </c>
    </row>
    <row r="16">
      <c r="A16" s="63" t="inlineStr">
        <is>
          <t>G11</t>
        </is>
      </c>
      <c r="B16" s="63" t="inlineStr">
        <is>
          <t>50107</t>
        </is>
      </c>
      <c r="C16" s="63" t="inlineStr">
        <is>
          <t>Sub-Floor Support Post</t>
        </is>
      </c>
      <c r="D16" s="63" t="inlineStr">
        <is>
          <t>nr</t>
        </is>
      </c>
      <c r="E16" s="63" t="n">
        <v>4</v>
      </c>
      <c r="F16" s="63" t="inlineStr">
        <is>
          <t>LOW</t>
        </is>
      </c>
      <c r="G16" s="63" t="inlineStr">
        <is>
          <t>calculated</t>
        </is>
      </c>
      <c r="H16" s="63" t="inlineStr">
        <is>
          <t>MANUAL REVIEW REQUIRED. Adjustable steel stumps or concrete piers at mid-span support points of internal floor bearers. 2 bearer lines × 2 mid-span pads each = 4 nr. Perimeter end-points land on strip footings. Post type and base plate spec from structural engineer. Verify against pad footing layout and FrameCAD sub-floor schedule.</t>
        </is>
      </c>
    </row>
    <row r="17">
      <c r="A17" s="63" t="inlineStr">
        <is>
          <t>G12</t>
        </is>
      </c>
      <c r="B17" s="63" t="inlineStr">
        <is>
          <t>50107</t>
        </is>
      </c>
      <c r="C17" s="63" t="inlineStr">
        <is>
          <t>Joist Hanger Connector (J1 end fix)</t>
        </is>
      </c>
      <c r="D17" s="63" t="inlineStr">
        <is>
          <t>nr</t>
        </is>
      </c>
      <c r="E17" s="63" t="n">
        <v>126</v>
      </c>
      <c r="F17" s="63" t="inlineStr">
        <is>
          <t>MEDIUM</t>
        </is>
      </c>
      <c r="G17" s="63" t="inlineStr">
        <is>
          <t>calculated</t>
        </is>
      </c>
      <c r="H17" s="63" t="inlineStr">
        <is>
          <t>MANUAL REVIEW REQUIRED. LGS joist hanger or clip angle at each J1 joist end. Total: 63 joists × 2 ends = 126 nr. Verify hanger type and connection requirement from FrameCAD engineer.</t>
        </is>
      </c>
    </row>
    <row r="18">
      <c r="A18" s="63" t="inlineStr">
        <is>
          <t>H04</t>
        </is>
      </c>
      <c r="B18" s="63" t="inlineStr">
        <is>
          <t>50107</t>
        </is>
      </c>
      <c r="C18" s="63" t="inlineStr">
        <is>
          <t>Strip Footing — Reo Bar Y12 (2 bars, ext perimeter)</t>
        </is>
      </c>
      <c r="D18" s="63" t="inlineStr">
        <is>
          <t>lm</t>
        </is>
      </c>
      <c r="E18" s="63" t="n">
        <v>76.8</v>
      </c>
      <c r="F18" s="63" t="inlineStr">
        <is>
          <t>LOW</t>
        </is>
      </c>
      <c r="G18" s="63" t="inlineStr">
        <is>
          <t>calculated</t>
        </is>
      </c>
      <c r="H18" s="63" t="inlineStr">
        <is>
          <t>MANUAL REVIEW REQUIRED. 2 × Y12 continuous bars assumed for strip footing bearing. Total: 76.8 lm = 13 × 6m stock lengths. Verify bar size, spacing, and lap length from structural engineer.</t>
        </is>
      </c>
    </row>
    <row r="19">
      <c r="A19" s="63" t="inlineStr">
        <is>
          <t>H05</t>
        </is>
      </c>
      <c r="B19" s="63" t="inlineStr">
        <is>
          <t>50107</t>
        </is>
      </c>
      <c r="C19" s="63" t="inlineStr">
        <is>
          <t>Termite Barrier — Physical Membrane (ext perimeter)</t>
        </is>
      </c>
      <c r="D19" s="63" t="inlineStr">
        <is>
          <t>lm</t>
        </is>
      </c>
      <c r="E19" s="63" t="n">
        <v>38.4</v>
      </c>
      <c r="F19" s="63" t="inlineStr">
        <is>
          <t>LOW</t>
        </is>
      </c>
      <c r="G19" s="63" t="inlineStr">
        <is>
          <t>inferred</t>
        </is>
      </c>
      <c r="H19" s="63" t="inlineStr">
        <is>
          <t>MANUAL REVIEW REQUIRED. Physical termite management (barrier membrane / Granitgard or equivalent) at all footing/bearer interfaces. Verify treatment type and specification from pest management consultant. Chemical treatment not included.</t>
        </is>
      </c>
    </row>
    <row r="20">
      <c r="A20" s="63" t="inlineStr">
        <is>
          <t>H06</t>
        </is>
      </c>
      <c r="B20" s="63" t="inlineStr">
        <is>
          <t>50107</t>
        </is>
      </c>
      <c r="C20" s="63" t="inlineStr">
        <is>
          <t>Substructure | Bulk Earthworks / Level (provisional)</t>
        </is>
      </c>
      <c r="D20" s="63" t="inlineStr">
        <is>
          <t>m3</t>
        </is>
      </c>
      <c r="E20" s="63" t="n">
        <v>0</v>
      </c>
      <c r="F20" s="63" t="inlineStr">
        <is>
          <t>LOW</t>
        </is>
      </c>
      <c r="G20" s="63" t="inlineStr">
        <is>
          <t>placeholder</t>
        </is>
      </c>
      <c r="H20" s="63" t="inlineStr">
        <is>
          <t>MANUAL REVIEW REQUIRED. Excavation volume cannot be derived from architectural documents.</t>
        </is>
      </c>
    </row>
    <row r="21">
      <c r="A21" s="63" t="inlineStr">
        <is>
          <t>H11</t>
        </is>
      </c>
      <c r="B21" s="63" t="inlineStr">
        <is>
          <t>50107</t>
        </is>
      </c>
      <c r="C21" s="63" t="inlineStr">
        <is>
          <t>Substructure | Strip Footing Internal Reo Bar Y12</t>
        </is>
      </c>
      <c r="D21" s="63" t="inlineStr">
        <is>
          <t>lm</t>
        </is>
      </c>
      <c r="E21" s="63" t="n">
        <v>58.8</v>
      </c>
      <c r="F21" s="63" t="inlineStr">
        <is>
          <t>LOW</t>
        </is>
      </c>
      <c r="G21" s="63" t="inlineStr">
        <is>
          <t>calculated</t>
        </is>
      </c>
      <c r="H21" s="63" t="inlineStr">
        <is>
          <t>MANUAL REVIEW REQUIRED. 2 × Y12 bars for internal bearing strip footings. Total: 58.8 lm = 10 × 6m lengths. Verify from structural engineer.</t>
        </is>
      </c>
    </row>
    <row r="22">
      <c r="A22" s="63" t="inlineStr">
        <is>
          <t>H12</t>
        </is>
      </c>
      <c r="B22" s="63" t="inlineStr">
        <is>
          <t>50107</t>
        </is>
      </c>
      <c r="C22" s="63" t="inlineStr">
        <is>
          <t>Termite Barrier — Physical Membrane (internal bearing lines)</t>
        </is>
      </c>
      <c r="D22" s="63" t="inlineStr">
        <is>
          <t>lm</t>
        </is>
      </c>
      <c r="E22" s="63" t="n">
        <v>29.4</v>
      </c>
      <c r="F22" s="63" t="inlineStr">
        <is>
          <t>LOW</t>
        </is>
      </c>
      <c r="G22" s="63" t="inlineStr">
        <is>
          <t>inferred</t>
        </is>
      </c>
      <c r="H22" s="63" t="inlineStr">
        <is>
          <t>MANUAL REVIEW REQUIRED. Physical termite management at internal bearing interfaces. Verify treatment specification from pest management consultant.</t>
        </is>
      </c>
    </row>
    <row r="23">
      <c r="A23" s="63" t="inlineStr">
        <is>
          <t>A12</t>
        </is>
      </c>
      <c r="B23" s="63" t="inlineStr">
        <is>
          <t>50111</t>
        </is>
      </c>
      <c r="C23" s="63" t="inlineStr">
        <is>
          <t>Fixing | 12G-14x20mm HEX Head, DP</t>
        </is>
      </c>
      <c r="D23" s="63" t="inlineStr">
        <is>
          <t>boxes</t>
        </is>
      </c>
      <c r="E23" s="63" t="n">
        <v>19</v>
      </c>
      <c r="F23" s="63" t="inlineStr">
        <is>
          <t>MEDIUM</t>
        </is>
      </c>
      <c r="G23" s="63" t="inlineStr">
        <is>
          <t>calculated</t>
        </is>
      </c>
      <c r="H23" s="63" t="inlineStr">
        <is>
          <t>MANUAL REVIEW REQUIRED. Stud-to-track connections: 2300.4lm × 4.0 per m = ~9202 screws, 19 boxes (500/box). Density: 2 screws per stud end (top+bottom). Verify with FrameCAD connection schedule.</t>
        </is>
      </c>
    </row>
    <row r="24">
      <c r="A24" s="63" t="inlineStr">
        <is>
          <t>A13</t>
        </is>
      </c>
      <c r="B24" s="63" t="inlineStr">
        <is>
          <t>50111</t>
        </is>
      </c>
      <c r="C24" s="63" t="inlineStr">
        <is>
          <t>Roof Panel System — LGS</t>
        </is>
      </c>
      <c r="D24" s="63" t="inlineStr">
        <is>
          <t>boxes</t>
        </is>
      </c>
      <c r="E24" s="63" t="n">
        <v>3</v>
      </c>
      <c r="F24" s="63" t="inlineStr">
        <is>
          <t>MEDIUM</t>
        </is>
      </c>
      <c r="G24" s="63" t="inlineStr">
        <is>
          <t>calculated</t>
        </is>
      </c>
      <c r="H24" s="63" t="inlineStr">
        <is>
          <t>MANUAL REVIEW REQUIRED. Purlin-to-rafter / roof panel connections: 481.7lm × 3.0 per m = ~1445 screws, 3 boxes. Verify with FrameCAD connection report.</t>
        </is>
      </c>
    </row>
    <row r="25">
      <c r="A25" s="63" t="inlineStr">
        <is>
          <t>A14</t>
        </is>
      </c>
      <c r="B25" s="63" t="inlineStr">
        <is>
          <t>50111</t>
        </is>
      </c>
      <c r="C25" s="63" t="inlineStr">
        <is>
          <t>Fixing | 10G-14x16mm Wafer Head, DP</t>
        </is>
      </c>
      <c r="D25" s="63" t="inlineStr">
        <is>
          <t>boxes</t>
        </is>
      </c>
      <c r="E25" s="63" t="n">
        <v>7</v>
      </c>
      <c r="F25" s="63" t="inlineStr">
        <is>
          <t>LOW</t>
        </is>
      </c>
      <c r="G25" s="63" t="inlineStr">
        <is>
          <t>calculated</t>
        </is>
      </c>
      <c r="H25" s="63" t="inlineStr">
        <is>
          <t>MANUAL REVIEW REQUIRED. Batten-to-purlin connections: 1385.3lm total batten × 2.5 per m = ~3463. Includes roof, wall, and ceiling batten zones from FrameCAD BOM. Verify zone scope before ordering.</t>
        </is>
      </c>
    </row>
    <row r="26">
      <c r="A26" s="63" t="inlineStr">
        <is>
          <t>A15</t>
        </is>
      </c>
      <c r="B26" s="63" t="inlineStr">
        <is>
          <t>50111</t>
        </is>
      </c>
      <c r="C26" s="63" t="inlineStr">
        <is>
          <t>Fixing | M12 x 75mm Sleeve Anchor (Pad Footings)</t>
        </is>
      </c>
      <c r="D26" s="63" t="inlineStr">
        <is>
          <t>nr</t>
        </is>
      </c>
      <c r="E26" s="63" t="n">
        <v>60</v>
      </c>
      <c r="F26" s="63" t="inlineStr">
        <is>
          <t>MEDIUM</t>
        </is>
      </c>
      <c r="G26" s="63" t="inlineStr">
        <is>
          <t>calculated</t>
        </is>
      </c>
      <c r="H26" s="63" t="inlineStr">
        <is>
          <t>MANUAL REVIEW REQUIRED. 15 pad footings × 4 M12×75 anchors each (4-bolt base plate). Verify anchor embedment depth and edge distance from structural engineer.</t>
        </is>
      </c>
    </row>
    <row r="27">
      <c r="A27" s="63" t="inlineStr">
        <is>
          <t>A16</t>
        </is>
      </c>
      <c r="B27" s="63" t="inlineStr">
        <is>
          <t>50111</t>
        </is>
      </c>
      <c r="C27" s="63" t="inlineStr">
        <is>
          <t>PH Bracket | Post Holder (PHA/PHB/PHD)</t>
        </is>
      </c>
      <c r="D27" s="63" t="inlineStr">
        <is>
          <t>nr</t>
        </is>
      </c>
      <c r="E27" s="63" t="n">
        <v>15</v>
      </c>
      <c r="F27" s="63" t="inlineStr">
        <is>
          <t>MEDIUM</t>
        </is>
      </c>
      <c r="G27" s="63" t="inlineStr">
        <is>
          <t>calculated</t>
        </is>
      </c>
      <c r="H27" s="63" t="inlineStr">
        <is>
          <t>MANUAL REVIEW REQUIRED. Post holder brackets at column bases. Count from DXF pad count (direct geometry measurement). Total: 15 nr. Verify bracket type (PHA/PHB/PHD) against post size and load from structural drawings.</t>
        </is>
      </c>
    </row>
    <row r="28">
      <c r="A28" s="63" t="inlineStr">
        <is>
          <t>A17</t>
        </is>
      </c>
      <c r="B28" s="63" t="inlineStr">
        <is>
          <t>50111</t>
        </is>
      </c>
      <c r="C28" s="63" t="inlineStr">
        <is>
          <t>Accessories | Triple Grip Connector (Pryda)</t>
        </is>
      </c>
      <c r="D28" s="63" t="inlineStr">
        <is>
          <t>nr</t>
        </is>
      </c>
      <c r="E28" s="63" t="n">
        <v>36</v>
      </c>
      <c r="F28" s="63" t="inlineStr">
        <is>
          <t>MEDIUM</t>
        </is>
      </c>
      <c r="G28" s="63" t="inlineStr">
        <is>
          <t>calculated</t>
        </is>
      </c>
      <c r="H28" s="63" t="inlineStr">
        <is>
          <t>MANUAL REVIEW REQUIRED. Roof-to-wall-plate cyclonic uplift connectors at rafter-to-plate junctions. Eave length 42.4m from DXF roof geometry (hip roof — perimeter all sides). Spacing 1.2m (1 per rafter bay at standard 1200mm spacing). Total: ceil(42.4/1.2) = 36 nr. Verify triple grip type and fixing schedule from structural engineer for cyclone region.</t>
        </is>
      </c>
    </row>
    <row r="29">
      <c r="A29" s="63" t="inlineStr">
        <is>
          <t>A18</t>
        </is>
      </c>
      <c r="B29" s="63" t="inlineStr">
        <is>
          <t>50111</t>
        </is>
      </c>
      <c r="C29" s="63" t="inlineStr">
        <is>
          <t>Accessories | Hold Down Washer, Cyclonic</t>
        </is>
      </c>
      <c r="D29" s="63" t="inlineStr">
        <is>
          <t>nr</t>
        </is>
      </c>
      <c r="E29" s="63" t="n">
        <v>30</v>
      </c>
      <c r="F29" s="63" t="inlineStr">
        <is>
          <t>LOW</t>
        </is>
      </c>
      <c r="G29" s="63" t="inlineStr">
        <is>
          <t>calculated</t>
        </is>
      </c>
      <c r="H29" s="63" t="inlineStr">
        <is>
          <t>MANUAL REVIEW REQUIRED. Hold-down washers at post base connections. 15 pads × 2 = 30 nr. Verify washer specification (size, grade) from structural drawings.</t>
        </is>
      </c>
    </row>
    <row r="30">
      <c r="A30" s="63" t="inlineStr">
        <is>
          <t>A19</t>
        </is>
      </c>
      <c r="B30" s="63" t="inlineStr">
        <is>
          <t>50111</t>
        </is>
      </c>
      <c r="C30" s="63" t="inlineStr">
        <is>
          <t>Accessories | Fix Plate Connector, G350</t>
        </is>
      </c>
      <c r="D30" s="63" t="inlineStr">
        <is>
          <t>nr</t>
        </is>
      </c>
      <c r="E30" s="63" t="n">
        <v>34</v>
      </c>
      <c r="F30" s="63" t="inlineStr">
        <is>
          <t>LOW</t>
        </is>
      </c>
      <c r="G30" s="63" t="inlineStr">
        <is>
          <t>calculated</t>
        </is>
      </c>
      <c r="H30" s="63" t="inlineStr">
        <is>
          <t>MANUAL REVIEW REQUIRED. Fix plates at strap bracing termination points (1 per strap end). 49.7lm ÷ 3.0m avg run = 17 runs × 2 ends = 34 nr. Verify run count and plate spec from FrameCAD connection schedule.</t>
        </is>
      </c>
    </row>
    <row r="31">
      <c r="A31" s="63" t="inlineStr">
        <is>
          <t>A20</t>
        </is>
      </c>
      <c r="B31" s="63" t="inlineStr">
        <is>
          <t>50111</t>
        </is>
      </c>
      <c r="C31" s="63" t="inlineStr">
        <is>
          <t>Accessories | Strap Brace Tensioner</t>
        </is>
      </c>
      <c r="D31" s="63" t="inlineStr">
        <is>
          <t>nr</t>
        </is>
      </c>
      <c r="E31" s="63" t="n">
        <v>34</v>
      </c>
      <c r="F31" s="63" t="inlineStr">
        <is>
          <t>LOW</t>
        </is>
      </c>
      <c r="G31" s="63" t="inlineStr">
        <is>
          <t>calculated</t>
        </is>
      </c>
      <c r="H31" s="63" t="inlineStr">
        <is>
          <t>MANUAL REVIEW REQUIRED. Strap termination anchors: 49.7lm ÷ 3m avg run = 17 runs × 2 ends. Verify strap count and anchor type from FrameCAD connection schedule.</t>
        </is>
      </c>
    </row>
    <row r="32">
      <c r="A32" s="63" t="inlineStr">
        <is>
          <t>A21</t>
        </is>
      </c>
      <c r="B32" s="63" t="inlineStr">
        <is>
          <t>50111</t>
        </is>
      </c>
      <c r="C32" s="63" t="inlineStr">
        <is>
          <t>Accessories | Grommet 35mm Dia</t>
        </is>
      </c>
      <c r="D32" s="63" t="inlineStr">
        <is>
          <t>nr</t>
        </is>
      </c>
      <c r="E32" s="63" t="n">
        <v>93</v>
      </c>
      <c r="F32" s="63" t="inlineStr">
        <is>
          <t>LOW</t>
        </is>
      </c>
      <c r="G32" s="63" t="inlineStr">
        <is>
          <t>inferred</t>
        </is>
      </c>
      <c r="H32" s="63" t="inlineStr">
        <is>
          <t>MANUAL REVIEW REQUIRED. Cable/conduit grommets at LGS stud penetrations (commercial density). Internal: 29.4m × 2.5/m = 73.5. External (service entries): 38.4m × 0.5/m = 19.2. Total: 93 nr. Quantity depends on electrical/hydraulic layout. Verify from services drawings.</t>
        </is>
      </c>
    </row>
    <row r="33">
      <c r="A33" s="63" t="inlineStr">
        <is>
          <t>A22</t>
        </is>
      </c>
      <c r="B33" s="63" t="inlineStr">
        <is>
          <t>50111</t>
        </is>
      </c>
      <c r="C33" s="63" t="inlineStr">
        <is>
          <t>Fixing | Structural Fixings Remainder (PLACEHOLDER)</t>
        </is>
      </c>
      <c r="D33" s="63" t="inlineStr">
        <is>
          <t>item</t>
        </is>
      </c>
      <c r="E33" s="63" t="n">
        <v>0</v>
      </c>
      <c r="F33" s="63" t="inlineStr">
        <is>
          <t>LOW</t>
        </is>
      </c>
      <c r="G33" s="63" t="inlineStr">
        <is>
          <t>placeholder</t>
        </is>
      </c>
      <c r="H33" s="63" t="inlineStr">
        <is>
      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      </is>
      </c>
    </row>
    <row r="34">
      <c r="A34" s="63" t="inlineStr">
        <is>
          <t>B05</t>
        </is>
      </c>
      <c r="B34" s="63" t="inlineStr">
        <is>
          <t>50112</t>
        </is>
      </c>
      <c r="C34" s="63" t="inlineStr">
        <is>
          <t>Roof Cladding | Custom Orb Corrugated CGI Sheet</t>
        </is>
      </c>
      <c r="D34" s="63" t="inlineStr">
        <is>
          <t>sheets</t>
        </is>
      </c>
      <c r="E34" s="63" t="n">
        <v>33</v>
      </c>
      <c r="F34" s="63" t="inlineStr">
        <is>
          <t>MEDIUM</t>
        </is>
      </c>
      <c r="G34" s="63" t="inlineStr">
        <is>
          <t>calculated</t>
        </is>
      </c>
      <c r="H34" s="63" t="inlineStr">
        <is>
          <t>MANUAL REVIEW REQUIRED. rafter_run=4.10m (hip W/2, derived from roof plan) + 150mm lap → select 4.5m stock Verify sheet length and profile from spec.</t>
        </is>
      </c>
    </row>
    <row r="35">
      <c r="A35" s="63" t="inlineStr">
        <is>
          <t>K05</t>
        </is>
      </c>
      <c r="B35" s="63" t="inlineStr">
        <is>
          <t>50113</t>
        </is>
      </c>
      <c r="C35" s="63" t="inlineStr">
        <is>
          <t>External Cladding | FC Weatherboard (Board Count)</t>
        </is>
      </c>
      <c r="D35" s="63" t="inlineStr">
        <is>
          <t>nr</t>
        </is>
      </c>
      <c r="E35" s="63" t="n">
        <v>126</v>
      </c>
      <c r="F35" s="63" t="inlineStr">
        <is>
          <t>MEDIUM</t>
        </is>
      </c>
      <c r="G35" s="63" t="inlineStr">
        <is>
          <t>calculated</t>
        </is>
      </c>
      <c r="H35" s="63" t="inlineStr">
        <is>
          <t>MANUAL REVIEW REQUIRED. Weatherboard: 200mm exposure, 4200mm stock length. Count includes 5% waste.  Verify board profile and lap from spec.</t>
        </is>
      </c>
    </row>
    <row r="36">
      <c r="A36" s="63" t="inlineStr">
        <is>
          <t>K06</t>
        </is>
      </c>
      <c r="B36" s="63" t="inlineStr">
        <is>
          <t>50113</t>
        </is>
      </c>
      <c r="C36" s="63" t="inlineStr">
        <is>
          <t>External Cladding | FC Weatherboard (Supply lm)</t>
        </is>
      </c>
      <c r="D36" s="63" t="inlineStr">
        <is>
          <t>lm</t>
        </is>
      </c>
      <c r="E36" s="63" t="n">
        <v>529.2</v>
      </c>
      <c r="F36" s="63" t="inlineStr">
        <is>
          <t>MEDIUM</t>
        </is>
      </c>
      <c r="G36" s="63" t="inlineStr">
        <is>
          <t>calculated</t>
        </is>
      </c>
      <c r="H36" s="63" t="inlineStr">
        <is>
          <t>MANUAL REVIEW REQUIRED. Total FC weatherboard supply in lineal metres. 126 boards × 4.2m stock length = 529.2 lm. Includes 5% waste. Verify board profile and lap detail with cladding specification.</t>
        </is>
      </c>
    </row>
    <row r="37">
      <c r="A37" s="63" t="inlineStr">
        <is>
          <t>K15</t>
        </is>
      </c>
      <c r="B37" s="63" t="inlineStr">
        <is>
          <t>50113</t>
        </is>
      </c>
      <c r="C37" s="63" t="inlineStr">
        <is>
          <t>Window / Door Reveal Trim (FC / timber)</t>
        </is>
      </c>
      <c r="D37" s="63" t="inlineStr">
        <is>
          <t>lm</t>
        </is>
      </c>
      <c r="E37" s="63" t="n">
        <v>40.33</v>
      </c>
      <c r="F37" s="63" t="inlineStr">
        <is>
          <t>MEDIUM</t>
        </is>
      </c>
      <c r="G37" s="63" t="inlineStr">
        <is>
          <t>calculated</t>
        </is>
      </c>
      <c r="H37" s="63" t="inlineStr">
        <is>
          <t>MANUAL REVIEW REQUIRED. Jamb / reveal trim at external cladding openings: 2 × height + 1 × width per opening. Louvre h=0.75 m (config default). Partition doors (&lt;0.85 m wide) excluded — they are in internal walls. Verify trim profile and dimensions with cladding specification.</t>
        </is>
      </c>
    </row>
    <row r="38">
      <c r="A38" s="63" t="inlineStr">
        <is>
          <t>K17</t>
        </is>
      </c>
      <c r="B38" s="63" t="inlineStr">
        <is>
          <t>50113</t>
        </is>
      </c>
      <c r="C38" s="63" t="inlineStr">
        <is>
          <t>External Works | Verandah Decking (WPC Supply)</t>
        </is>
      </c>
      <c r="D38" s="63" t="inlineStr">
        <is>
          <t>m2</t>
        </is>
      </c>
      <c r="E38" s="63" t="n">
        <v>22.68</v>
      </c>
      <c r="F38" s="63" t="inlineStr">
        <is>
          <t>HIGH</t>
        </is>
      </c>
      <c r="G38" s="63" t="inlineStr">
        <is>
          <t>calculated</t>
        </is>
      </c>
      <c r="H38" s="63" t="inlineStr">
        <is>
          <t>MANUAL REVIEW REQUIRED. WPC composite decking board supply area including 5% cut waste. Net area: 21.60 m². Supply (5% waste): 22.68 m². Verify decking board width, fixing centres and colour from specification. Confirm surface finish: WPC, hardwood, or concrete slab.</t>
        </is>
      </c>
    </row>
    <row r="39">
      <c r="A39" s="63" t="inlineStr">
        <is>
          <t>K18</t>
        </is>
      </c>
      <c r="B39" s="63" t="inlineStr">
        <is>
          <t>50113</t>
        </is>
      </c>
      <c r="C39" s="63" t="inlineStr">
        <is>
          <t>External Works | Verandah Decking (Board Count)</t>
        </is>
      </c>
      <c r="D39" s="63" t="inlineStr">
        <is>
          <t>nr</t>
        </is>
      </c>
      <c r="E39" s="63" t="n">
        <v>45</v>
      </c>
      <c r="F39" s="63" t="inlineStr">
        <is>
          <t>LOW</t>
        </is>
      </c>
      <c r="G39" s="63" t="inlineStr">
        <is>
          <t>calculated</t>
        </is>
      </c>
      <c r="H39" s="63" t="inlineStr">
        <is>
          <t>MANUAL REVIEW REQUIRED. Estimated WPC board count at 140mm nominal width, 3.6m stock length. 22.68 m² ÷ (0.14m × 3.6m) = 45 nr. LOW confidence — board size assumed. Verify from supplier/specification.</t>
        </is>
      </c>
    </row>
    <row r="40">
      <c r="A40" s="63" t="inlineStr">
        <is>
          <t>K19</t>
        </is>
      </c>
      <c r="B40" s="63" t="inlineStr">
        <is>
          <t>50113</t>
        </is>
      </c>
      <c r="C40" s="63" t="inlineStr">
        <is>
          <t>Substructure | Site Preparation (Provisional)</t>
        </is>
      </c>
      <c r="D40" s="63" t="inlineStr">
        <is>
          <t>item</t>
        </is>
      </c>
      <c r="E40" s="63" t="n">
        <v>0</v>
      </c>
      <c r="F40" s="63" t="inlineStr">
        <is>
          <t>LOW</t>
        </is>
      </c>
      <c r="G40" s="63" t="inlineStr">
        <is>
          <t>placeholder</t>
        </is>
      </c>
      <c r="H40" s="63" t="inlineStr">
        <is>
          <t>MANUAL REVIEW REQUIRED. Site preparation scope cannot be derived from drawings. Confirm with engineer.</t>
        </is>
      </c>
    </row>
    <row r="41">
      <c r="A41" s="63" t="inlineStr">
        <is>
          <t>D06</t>
        </is>
      </c>
      <c r="B41" s="63" t="inlineStr">
        <is>
          <t>50114</t>
        </is>
      </c>
      <c r="C41" s="63" t="inlineStr">
        <is>
          <t>Flashing | Door Sill, Galvanised</t>
        </is>
      </c>
      <c r="D41" s="63" t="inlineStr">
        <is>
          <t>lm</t>
        </is>
      </c>
      <c r="E41" s="63" t="n">
        <v>1.02</v>
      </c>
      <c r="F41" s="63" t="inlineStr">
        <is>
          <t>MEDIUM</t>
        </is>
      </c>
      <c r="G41" s="63" t="inlineStr">
        <is>
          <t>calculated</t>
        </is>
      </c>
      <c r="H41" s="63" t="inlineStr">
        <is>
          <t>MANUAL REVIEW REQUIRED. Sill flashing for external doors only (width ≥ 850mm threshold). Classified external: DOOR_90×1. Classified internal (no sill): DOOR_82×4, DOOR_72×1. Threshold is heuristic — verify from door schedule and architectural drawings.</t>
        </is>
      </c>
    </row>
    <row r="42">
      <c r="A42" s="63" t="inlineStr">
        <is>
          <t>D34</t>
        </is>
      </c>
      <c r="B42" s="63" t="inlineStr">
        <is>
          <t>50114</t>
        </is>
      </c>
      <c r="C42" s="63" t="inlineStr">
        <is>
          <t>Window | Louvre Blade, 1800mm Wide</t>
        </is>
      </c>
      <c r="D42" s="63" t="inlineStr">
        <is>
          <t>nr</t>
        </is>
      </c>
      <c r="E42" s="63" t="n">
        <v>8</v>
      </c>
      <c r="F42" s="63" t="inlineStr">
        <is>
          <t>LOW</t>
        </is>
      </c>
      <c r="G42" s="63" t="inlineStr">
        <is>
          <t>calculated</t>
        </is>
      </c>
      <c r="H42" s="63" t="inlineStr">
        <is>
          <t>MANUAL REVIEW REQUIRED. BLOCKED PENDING WINDOW SCHEDULE: Window height not available in DXF block geometry or opening schedule for WINDOW_LOUVRE_1800. Using config default 750 mm → 8 blades per frame at 100 mm pitch. Blade count will change when window schedule is supplied. Verify frame height and blade quantity from window/door schedule.</t>
        </is>
      </c>
    </row>
    <row r="43">
      <c r="A43" s="63" t="inlineStr">
        <is>
          <t>D45</t>
        </is>
      </c>
      <c r="B43" s="63" t="inlineStr">
        <is>
          <t>50114</t>
        </is>
      </c>
      <c r="C43" s="63" t="inlineStr">
        <is>
          <t>Window | Louvre Frame, Total (lm)</t>
        </is>
      </c>
      <c r="D43" s="63" t="inlineStr">
        <is>
          <t>lm</t>
        </is>
      </c>
      <c r="E43" s="63" t="n">
        <v>35.33</v>
      </c>
      <c r="F43" s="63" t="inlineStr">
        <is>
          <t>LOW</t>
        </is>
      </c>
      <c r="G43" s="63" t="inlineStr">
        <is>
          <t>calculated</t>
        </is>
      </c>
      <c r="H43" s="63" t="inlineStr">
        <is>
          <t>MANUAL REVIEW REQUIRED. Total louvre window frame perimeter for all 11 windows. WINDOW_LOUVRE_1100 (h=1.203m) and WINDOW_LOUVRE_800 (h=0.623m): MEDIUM (FrameCAD label evidence). WINDOW_LOUVRE_1800 (h=0.750m): LOW (config default — height blocked). Widths from DXF block names. Use for frame section procurement across all window marks.</t>
        </is>
      </c>
    </row>
    <row r="44">
      <c r="A44" s="63" t="inlineStr">
        <is>
          <t>D48</t>
        </is>
      </c>
      <c r="B44" s="63" t="inlineStr">
        <is>
          <t>50114</t>
        </is>
      </c>
      <c r="C44" s="63" t="inlineStr">
        <is>
          <t>Window | Fly Screen, 1800mm Wide</t>
        </is>
      </c>
      <c r="D44" s="63" t="inlineStr">
        <is>
          <t>m2</t>
        </is>
      </c>
      <c r="E44" s="63" t="n">
        <v>1.39</v>
      </c>
      <c r="F44" s="63" t="inlineStr">
        <is>
          <t>LOW</t>
        </is>
      </c>
      <c r="G44" s="63" t="inlineStr">
        <is>
          <t>calculated</t>
        </is>
      </c>
      <c r="H44" s="63" t="inlineStr">
        <is>
          <t>MANUAL REVIEW REQUIRED. BLOCKED PENDING WINDOW SCHEDULE: Height not available in DXF for WINDOW_LOUVRE_1800 — using config default 0.750 m. Screen area 1.39 m² is a heuristic estimate. Screen area will change when window schedule is supplied. Tropical building — all louvre openings require insect screening.</t>
        </is>
      </c>
    </row>
    <row r="45">
      <c r="A45" s="63" t="inlineStr">
        <is>
          <t>D49</t>
        </is>
      </c>
      <c r="B45" s="63" t="inlineStr">
        <is>
          <t>50114</t>
        </is>
      </c>
      <c r="C45" s="63" t="inlineStr">
        <is>
          <t>Door | Closer, Hydraulic</t>
        </is>
      </c>
      <c r="D45" s="63" t="inlineStr">
        <is>
          <t>nr</t>
        </is>
      </c>
      <c r="E45" s="63" t="n">
        <v>1</v>
      </c>
      <c r="F45" s="63" t="inlineStr">
        <is>
          <t>MEDIUM</t>
        </is>
      </c>
      <c r="G45" s="63" t="inlineStr">
        <is>
          <t>inferred</t>
        </is>
      </c>
      <c r="H45" s="63" t="inlineStr">
        <is>
          <t>MANUAL REVIEW REQUIRED. Door closer inferred for pharmacy entrance doors. Marks: DOOR_90 (1 nr). Verify which doors require closers from door schedule and architect. Commercial pharmacy may require controlled entry.</t>
        </is>
      </c>
    </row>
    <row r="46">
      <c r="A46" s="63" t="inlineStr">
        <is>
          <t>E11</t>
        </is>
      </c>
      <c r="B46" s="63" t="inlineStr">
        <is>
          <t>50115</t>
        </is>
      </c>
      <c r="C46" s="63" t="inlineStr">
        <is>
          <t>Internal Lining | Waterproof Board / FC, Wet Area</t>
        </is>
      </c>
      <c r="D46" s="63" t="inlineStr">
        <is>
          <t>sheets</t>
        </is>
      </c>
      <c r="E46" s="63" t="n">
        <v>7</v>
      </c>
      <c r="F46" s="63" t="inlineStr">
        <is>
          <t>LOW</t>
        </is>
      </c>
      <c r="G46" s="63" t="inlineStr">
        <is>
          <t>inferred</t>
        </is>
      </c>
      <c r="H46" s="63" t="inlineStr">
        <is>
          <t>MANUAL REVIEW REQUIRED. Wet area lining: wall area = perimeter × wall height. perimeter from project_config (LOW — config-specified, not measured from drawings). Verify room perimeter against wet area schedule. Verify count against wet area wall schedule.</t>
        </is>
      </c>
    </row>
    <row r="47">
      <c r="A47" s="63" t="inlineStr">
        <is>
          <t>E12</t>
        </is>
      </c>
      <c r="B47" s="63" t="inlineStr">
        <is>
          <t>50115</t>
        </is>
      </c>
      <c r="C47" s="63" t="inlineStr">
        <is>
          <t>Internal Lining | Wet Area Board, Total Area (m²)</t>
        </is>
      </c>
      <c r="D47" s="63" t="inlineStr">
        <is>
          <t>each</t>
        </is>
      </c>
      <c r="E47" s="63" t="n">
        <v>7</v>
      </c>
      <c r="F47" s="63" t="inlineStr">
        <is>
          <t>LOW</t>
        </is>
      </c>
      <c r="G47" s="63" t="inlineStr">
        <is>
          <t>inferred</t>
        </is>
      </c>
      <c r="H47" s="63" t="inlineStr">
        <is>
          <t>MANUAL REVIEW REQUIRED. Gross wet area FC/waterproof board supply area. Wall area: 19.68m² × 1.05 waste = 20.66m². Rounded to 7 full sheets × 3.24m² = 22.68m². Verify from wet area wall schedule. Match sheet spec to waterproofing system.</t>
        </is>
      </c>
    </row>
    <row r="48">
      <c r="A48" s="63" t="inlineStr">
        <is>
          <t>E13</t>
        </is>
      </c>
      <c r="B48" s="63" t="inlineStr">
        <is>
          <t>50115</t>
        </is>
      </c>
      <c r="C48" s="63" t="inlineStr">
        <is>
          <t>Wet Area Tile Adhesive (20kg bag)</t>
        </is>
      </c>
      <c r="D48" s="63" t="inlineStr">
        <is>
          <t>bags</t>
        </is>
      </c>
      <c r="E48" s="63" t="n">
        <v>5</v>
      </c>
      <c r="F48" s="63" t="inlineStr">
        <is>
          <t>LOW</t>
        </is>
      </c>
      <c r="G48" s="63" t="inlineStr">
        <is>
          <t>calculated</t>
        </is>
      </c>
      <c r="H48" s="63" t="inlineStr">
        <is>
          <t>MANUAL REVIEW REQUIRED. 20kg bag of tile adhesive ≈ 4 m² coverage. Verify spec with tiler.</t>
        </is>
      </c>
    </row>
    <row r="49">
      <c r="A49" s="63" t="inlineStr">
        <is>
          <t>E14</t>
        </is>
      </c>
      <c r="B49" s="63" t="inlineStr">
        <is>
          <t>50115</t>
        </is>
      </c>
      <c r="C49" s="63" t="inlineStr">
        <is>
          <t>Wet Area Wall Tile Grout (3kg bag)</t>
        </is>
      </c>
      <c r="D49" s="63" t="inlineStr">
        <is>
          <t>bags</t>
        </is>
      </c>
      <c r="E49" s="63" t="n">
        <v>4</v>
      </c>
      <c r="F49" s="63" t="inlineStr">
        <is>
          <t>LOW</t>
        </is>
      </c>
      <c r="G49" s="63" t="inlineStr">
        <is>
          <t>calculated</t>
        </is>
      </c>
      <c r="H49" s="63" t="inlineStr">
        <is>
          <t>MANUAL REVIEW REQUIRED. 3kg bag of grout ≈ 6 m² wall tile coverage. Adjust for tile size and joint width.</t>
        </is>
      </c>
    </row>
    <row r="50">
      <c r="A50" s="63" t="inlineStr">
        <is>
          <t>E15</t>
        </is>
      </c>
      <c r="B50" s="63" t="inlineStr">
        <is>
          <t>50115</t>
        </is>
      </c>
      <c r="C50" s="63" t="inlineStr">
        <is>
          <t>Wet Area Waterproof Membrane (floor + upstand)</t>
        </is>
      </c>
      <c r="D50" s="63" t="inlineStr">
        <is>
          <t>m2</t>
        </is>
      </c>
      <c r="E50" s="63" t="n">
        <v>6.14</v>
      </c>
      <c r="F50" s="63" t="inlineStr">
        <is>
          <t>LOW</t>
        </is>
      </c>
      <c r="G50" s="63" t="inlineStr">
        <is>
          <t>inferred</t>
        </is>
      </c>
      <c r="H50" s="63" t="inlineStr">
        <is>
          <t>MANUAL REVIEW REQUIRED. Waterproof membrane: floor area + ~200mm wall upstand. Verify method (liquid-applied vs sheet) from hydraulic engineer.</t>
        </is>
      </c>
    </row>
    <row r="51">
      <c r="A51" s="63" t="inlineStr">
        <is>
          <t>E24</t>
        </is>
      </c>
      <c r="B51" s="63" t="inlineStr">
        <is>
          <t>50115</t>
        </is>
      </c>
      <c r="C51" s="63" t="inlineStr">
        <is>
          <t>Timber Cornice | End Cap / Mitre Set</t>
        </is>
      </c>
      <c r="D51" s="63" t="inlineStr">
        <is>
          <t>sets</t>
        </is>
      </c>
      <c r="E51" s="63" t="n">
        <v>4</v>
      </c>
      <c r="F51" s="63" t="inlineStr">
        <is>
          <t>LOW</t>
        </is>
      </c>
      <c r="G51" s="63" t="inlineStr">
        <is>
          <t>inferred</t>
        </is>
      </c>
      <c r="H51" s="63" t="inlineStr">
        <is>
          <t>MANUAL REVIEW REQUIRED. 4 internal corner mitre sets assumed for rectangular plan. Adjust if non-rectangular or if external cornice returns required. Verify with cornice supplier.</t>
        </is>
      </c>
    </row>
    <row r="52">
      <c r="A52" s="63" t="inlineStr">
        <is>
          <t>I01</t>
        </is>
      </c>
      <c r="B52" s="63" t="inlineStr">
        <is>
          <t>50117</t>
        </is>
      </c>
      <c r="C52" s="63" t="inlineStr">
        <is>
          <t>Hand Basin — Supply &amp; Fix</t>
        </is>
      </c>
      <c r="D52" s="63" t="inlineStr">
        <is>
          <t>nr</t>
        </is>
      </c>
      <c r="E52" s="63" t="n">
        <v>1</v>
      </c>
      <c r="F52" s="63" t="inlineStr">
        <is>
          <t>LOW</t>
        </is>
      </c>
      <c r="G52" s="63" t="inlineStr">
        <is>
          <t>inferred</t>
        </is>
      </c>
      <c r="H52" s="63" t="inlineStr">
        <is>
          <t>MANUAL REVIEW REQUIRED. Inferred from room type 'pharmacy'.</t>
        </is>
      </c>
    </row>
    <row r="53">
      <c r="A53" s="63" t="inlineStr">
        <is>
          <t>I02</t>
        </is>
      </c>
      <c r="B53" s="63" t="inlineStr">
        <is>
          <t>50117</t>
        </is>
      </c>
      <c r="C53" s="63" t="inlineStr">
        <is>
          <t>Tapware — Supply &amp; Fix</t>
        </is>
      </c>
      <c r="D53" s="63" t="inlineStr">
        <is>
          <t>set</t>
        </is>
      </c>
      <c r="E53" s="63" t="n">
        <v>1</v>
      </c>
      <c r="F53" s="63" t="inlineStr">
        <is>
          <t>LOW</t>
        </is>
      </c>
      <c r="G53" s="63" t="inlineStr">
        <is>
          <t>inferred</t>
        </is>
      </c>
      <c r="H53" s="63" t="inlineStr">
        <is>
          <t>MANUAL REVIEW REQUIRED. Inferred from room type 'pharmacy'.</t>
        </is>
      </c>
    </row>
    <row r="54">
      <c r="A54" s="63" t="inlineStr">
        <is>
          <t>I03</t>
        </is>
      </c>
      <c r="B54" s="63" t="inlineStr">
        <is>
          <t>50117</t>
        </is>
      </c>
      <c r="C54" s="63" t="inlineStr">
        <is>
          <t>Services | Cold Room / Refrigeration (PLACEHOLDER)</t>
        </is>
      </c>
      <c r="D54" s="63" t="inlineStr">
        <is>
          <t>item</t>
        </is>
      </c>
      <c r="E54" s="63" t="n">
        <v>1</v>
      </c>
      <c r="F54" s="63" t="inlineStr">
        <is>
          <t>LOW</t>
        </is>
      </c>
      <c r="G54" s="63" t="inlineStr">
        <is>
          <t>inferred</t>
        </is>
      </c>
      <c r="H54" s="63" t="inlineStr">
        <is>
          <t>MANUAL REVIEW REQUIRED. Inferred from room type 'pharmacy'.</t>
        </is>
      </c>
    </row>
    <row r="55">
      <c r="A55" s="63" t="inlineStr">
        <is>
          <t>I04</t>
        </is>
      </c>
      <c r="B55" s="63" t="inlineStr">
        <is>
          <t>50117</t>
        </is>
      </c>
      <c r="C55" s="63" t="inlineStr">
        <is>
          <t>Services | Builder's Works, Electrical (Pharmacy)</t>
        </is>
      </c>
      <c r="D55" s="63" t="inlineStr">
        <is>
          <t>item</t>
        </is>
      </c>
      <c r="E55" s="63" t="n">
        <v>1</v>
      </c>
      <c r="F55" s="63" t="inlineStr">
        <is>
          <t>LOW</t>
        </is>
      </c>
      <c r="G55" s="63" t="inlineStr">
        <is>
          <t>inferred</t>
        </is>
      </c>
      <c r="H55" s="63" t="inlineStr">
        <is>
          <t>MANUAL REVIEW REQUIRED. Inferred from room type 'pharmacy'.</t>
        </is>
      </c>
    </row>
    <row r="56">
      <c r="A56" s="63" t="inlineStr">
        <is>
          <t>I05</t>
        </is>
      </c>
      <c r="B56" s="63" t="inlineStr">
        <is>
          <t>50117</t>
        </is>
      </c>
      <c r="C56" s="63" t="inlineStr">
        <is>
          <t>Hand Basin — Supply &amp; Fix</t>
        </is>
      </c>
      <c r="D56" s="63" t="inlineStr">
        <is>
          <t>nr</t>
        </is>
      </c>
      <c r="E56" s="63" t="n">
        <v>1</v>
      </c>
      <c r="F56" s="63" t="inlineStr">
        <is>
          <t>LOW</t>
        </is>
      </c>
      <c r="G56" s="63" t="inlineStr">
        <is>
          <t>inferred</t>
        </is>
      </c>
      <c r="H56" s="63" t="inlineStr">
        <is>
          <t>MANUAL REVIEW REQUIRED. Inferred from room type 'consulting'.</t>
        </is>
      </c>
    </row>
    <row r="57">
      <c r="A57" s="63" t="inlineStr">
        <is>
          <t>I06</t>
        </is>
      </c>
      <c r="B57" s="63" t="inlineStr">
        <is>
          <t>50117</t>
        </is>
      </c>
      <c r="C57" s="63" t="inlineStr">
        <is>
          <t>Tapware — Supply &amp; Fix</t>
        </is>
      </c>
      <c r="D57" s="63" t="inlineStr">
        <is>
          <t>set</t>
        </is>
      </c>
      <c r="E57" s="63" t="n">
        <v>1</v>
      </c>
      <c r="F57" s="63" t="inlineStr">
        <is>
          <t>LOW</t>
        </is>
      </c>
      <c r="G57" s="63" t="inlineStr">
        <is>
          <t>inferred</t>
        </is>
      </c>
      <c r="H57" s="63" t="inlineStr">
        <is>
          <t>MANUAL REVIEW REQUIRED. Inferred from room type 'consulting'.</t>
        </is>
      </c>
    </row>
    <row r="58">
      <c r="A58" s="63" t="inlineStr">
        <is>
          <t>I07</t>
        </is>
      </c>
      <c r="B58" s="63" t="inlineStr">
        <is>
          <t>50117</t>
        </is>
      </c>
      <c r="C58" s="63" t="inlineStr">
        <is>
          <t>Hydraulics | Builder's Works, Plumbing (Consulting)</t>
        </is>
      </c>
      <c r="D58" s="63" t="inlineStr">
        <is>
          <t>item</t>
        </is>
      </c>
      <c r="E58" s="63" t="n">
        <v>1</v>
      </c>
      <c r="F58" s="63" t="inlineStr">
        <is>
          <t>LOW</t>
        </is>
      </c>
      <c r="G58" s="63" t="inlineStr">
        <is>
          <t>inferred</t>
        </is>
      </c>
      <c r="H58" s="63" t="inlineStr">
        <is>
          <t>MANUAL REVIEW REQUIRED. Inferred from room type 'consulting'.</t>
        </is>
      </c>
    </row>
    <row r="59">
      <c r="A59" s="63" t="inlineStr">
        <is>
          <t>I08</t>
        </is>
      </c>
      <c r="B59" s="63" t="inlineStr">
        <is>
          <t>50117</t>
        </is>
      </c>
      <c r="C59" s="63" t="inlineStr">
        <is>
          <t>Services | Builder's Works, Electrical (Office)</t>
        </is>
      </c>
      <c r="D59" s="63" t="inlineStr">
        <is>
          <t>item</t>
        </is>
      </c>
      <c r="E59" s="63" t="n">
        <v>1</v>
      </c>
      <c r="F59" s="63" t="inlineStr">
        <is>
          <t>LOW</t>
        </is>
      </c>
      <c r="G59" s="63" t="inlineStr">
        <is>
          <t>inferred</t>
        </is>
      </c>
      <c r="H59" s="63" t="inlineStr">
        <is>
          <t>MANUAL REVIEW REQUIRED. Inferred from room type 'office'.</t>
        </is>
      </c>
    </row>
    <row r="60">
      <c r="A60" s="63" t="inlineStr">
        <is>
          <t>I09</t>
        </is>
      </c>
      <c r="B60" s="63" t="inlineStr">
        <is>
          <t>50117</t>
        </is>
      </c>
      <c r="C60" s="63" t="inlineStr">
        <is>
          <t>WC Pan — Supply &amp; Fix</t>
        </is>
      </c>
      <c r="D60" s="63" t="inlineStr">
        <is>
          <t>nr</t>
        </is>
      </c>
      <c r="E60" s="63" t="n">
        <v>1</v>
      </c>
      <c r="F60" s="63" t="inlineStr">
        <is>
          <t>MEDIUM</t>
        </is>
      </c>
      <c r="G60" s="63" t="inlineStr">
        <is>
          <t>inferred</t>
        </is>
      </c>
      <c r="H60" s="63" t="inlineStr">
        <is>
          <t>MANUAL REVIEW REQUIRED. Inferred from room type 'toilet'.</t>
        </is>
      </c>
    </row>
    <row r="61">
      <c r="A61" s="63" t="inlineStr">
        <is>
          <t>I10</t>
        </is>
      </c>
      <c r="B61" s="63" t="inlineStr">
        <is>
          <t>50117</t>
        </is>
      </c>
      <c r="C61" s="63" t="inlineStr">
        <is>
          <t>WC Cistern — Supply &amp; Fix</t>
        </is>
      </c>
      <c r="D61" s="63" t="inlineStr">
        <is>
          <t>nr</t>
        </is>
      </c>
      <c r="E61" s="63" t="n">
        <v>1</v>
      </c>
      <c r="F61" s="63" t="inlineStr">
        <is>
          <t>MEDIUM</t>
        </is>
      </c>
      <c r="G61" s="63" t="inlineStr">
        <is>
          <t>inferred</t>
        </is>
      </c>
      <c r="H61" s="63" t="inlineStr">
        <is>
          <t>MANUAL REVIEW REQUIRED. Inferred from room type 'toilet'.</t>
        </is>
      </c>
    </row>
    <row r="62">
      <c r="A62" s="63" t="inlineStr">
        <is>
          <t>I11</t>
        </is>
      </c>
      <c r="B62" s="63" t="inlineStr">
        <is>
          <t>50117</t>
        </is>
      </c>
      <c r="C62" s="63" t="inlineStr">
        <is>
          <t>Hand Basin — Supply &amp; Fix</t>
        </is>
      </c>
      <c r="D62" s="63" t="inlineStr">
        <is>
          <t>nr</t>
        </is>
      </c>
      <c r="E62" s="63" t="n">
        <v>1</v>
      </c>
      <c r="F62" s="63" t="inlineStr">
        <is>
          <t>MEDIUM</t>
        </is>
      </c>
      <c r="G62" s="63" t="inlineStr">
        <is>
          <t>inferred</t>
        </is>
      </c>
      <c r="H62" s="63" t="inlineStr">
        <is>
          <t>MANUAL REVIEW REQUIRED. Inferred from room type 'toilet'.</t>
        </is>
      </c>
    </row>
    <row r="63">
      <c r="A63" s="63" t="inlineStr">
        <is>
          <t>I12</t>
        </is>
      </c>
      <c r="B63" s="63" t="inlineStr">
        <is>
          <t>50117</t>
        </is>
      </c>
      <c r="C63" s="63" t="inlineStr">
        <is>
          <t>Tapware — Supply &amp; Fix</t>
        </is>
      </c>
      <c r="D63" s="63" t="inlineStr">
        <is>
          <t>set</t>
        </is>
      </c>
      <c r="E63" s="63" t="n">
        <v>1</v>
      </c>
      <c r="F63" s="63" t="inlineStr">
        <is>
          <t>MEDIUM</t>
        </is>
      </c>
      <c r="G63" s="63" t="inlineStr">
        <is>
          <t>inferred</t>
        </is>
      </c>
      <c r="H63" s="63" t="inlineStr">
        <is>
          <t>MANUAL REVIEW REQUIRED. Inferred from room type 'toilet'.</t>
        </is>
      </c>
    </row>
    <row r="64">
      <c r="A64" s="63" t="inlineStr">
        <is>
          <t>I13</t>
        </is>
      </c>
      <c r="B64" s="63" t="inlineStr">
        <is>
          <t>50117</t>
        </is>
      </c>
      <c r="C64" s="63" t="inlineStr">
        <is>
          <t>Mirror / Medicine Cabinet — Supply &amp; Fix</t>
        </is>
      </c>
      <c r="D64" s="63" t="inlineStr">
        <is>
          <t>nr</t>
        </is>
      </c>
      <c r="E64" s="63" t="n">
        <v>1</v>
      </c>
      <c r="F64" s="63" t="inlineStr">
        <is>
          <t>LOW</t>
        </is>
      </c>
      <c r="G64" s="63" t="inlineStr">
        <is>
          <t>inferred</t>
        </is>
      </c>
      <c r="H64" s="63" t="inlineStr">
        <is>
          <t>MANUAL REVIEW REQUIRED. Inferred from room type 'toilet'.</t>
        </is>
      </c>
    </row>
    <row r="65">
      <c r="A65" s="63" t="inlineStr">
        <is>
          <t>I14</t>
        </is>
      </c>
      <c r="B65" s="63" t="inlineStr">
        <is>
          <t>50117</t>
        </is>
      </c>
      <c r="C65" s="63" t="inlineStr">
        <is>
          <t>Toilet Roll Holder — Supply &amp; Fix</t>
        </is>
      </c>
      <c r="D65" s="63" t="inlineStr">
        <is>
          <t>nr</t>
        </is>
      </c>
      <c r="E65" s="63" t="n">
        <v>1</v>
      </c>
      <c r="F65" s="63" t="inlineStr">
        <is>
          <t>LOW</t>
        </is>
      </c>
      <c r="G65" s="63" t="inlineStr">
        <is>
          <t>inferred</t>
        </is>
      </c>
      <c r="H65" s="63" t="inlineStr">
        <is>
          <t>MANUAL REVIEW REQUIRED. Inferred from room type 'toilet'.</t>
        </is>
      </c>
    </row>
    <row r="66">
      <c r="A66" s="63" t="inlineStr">
        <is>
          <t>I15</t>
        </is>
      </c>
      <c r="B66" s="63" t="inlineStr">
        <is>
          <t>50117</t>
        </is>
      </c>
      <c r="C66" s="63" t="inlineStr">
        <is>
          <t>Hand Towel Rail — Supply &amp; Fix</t>
        </is>
      </c>
      <c r="D66" s="63" t="inlineStr">
        <is>
          <t>nr</t>
        </is>
      </c>
      <c r="E66" s="63" t="n">
        <v>1</v>
      </c>
      <c r="F66" s="63" t="inlineStr">
        <is>
          <t>LOW</t>
        </is>
      </c>
      <c r="G66" s="63" t="inlineStr">
        <is>
          <t>inferred</t>
        </is>
      </c>
      <c r="H66" s="63" t="inlineStr">
        <is>
          <t>MANUAL REVIEW REQUIRED. Inferred from room type 'toilet'.</t>
        </is>
      </c>
    </row>
    <row r="67">
      <c r="A67" s="63" t="inlineStr">
        <is>
          <t>I16</t>
        </is>
      </c>
      <c r="B67" s="63" t="inlineStr">
        <is>
          <t>50117</t>
        </is>
      </c>
      <c r="C67" s="63" t="inlineStr">
        <is>
          <t>Hydraulics | Floor Waste</t>
        </is>
      </c>
      <c r="D67" s="63" t="inlineStr">
        <is>
          <t>nr</t>
        </is>
      </c>
      <c r="E67" s="63" t="n">
        <v>1</v>
      </c>
      <c r="F67" s="63" t="inlineStr">
        <is>
          <t>MEDIUM</t>
        </is>
      </c>
      <c r="G67" s="63" t="inlineStr">
        <is>
          <t>inferred</t>
        </is>
      </c>
      <c r="H67" s="63" t="inlineStr">
        <is>
          <t>MANUAL REVIEW REQUIRED. Inferred from room type 'toilet'.</t>
        </is>
      </c>
    </row>
    <row r="68">
      <c r="A68" s="63" t="inlineStr">
        <is>
          <t>I17</t>
        </is>
      </c>
      <c r="B68" s="63" t="inlineStr">
        <is>
          <t>50117</t>
        </is>
      </c>
      <c r="C68" s="63" t="inlineStr">
        <is>
          <t>Hydraulics | Builder's Works, Plumbing (Toilet)</t>
        </is>
      </c>
      <c r="D68" s="63" t="inlineStr">
        <is>
          <t>item</t>
        </is>
      </c>
      <c r="E68" s="63" t="n">
        <v>1</v>
      </c>
      <c r="F68" s="63" t="inlineStr">
        <is>
          <t>MEDIUM</t>
        </is>
      </c>
      <c r="G68" s="63" t="inlineStr">
        <is>
          <t>inferred</t>
        </is>
      </c>
      <c r="H68" s="63" t="inlineStr">
        <is>
          <t>MANUAL REVIEW REQUIRED. Inferred from room type 'toilet'.</t>
        </is>
      </c>
    </row>
    <row r="69">
      <c r="A69" s="63" t="inlineStr">
        <is>
          <t>I18</t>
        </is>
      </c>
      <c r="B69" s="63" t="inlineStr">
        <is>
          <t>50117</t>
        </is>
      </c>
      <c r="C69" s="63" t="inlineStr">
        <is>
          <t>Internal Lining | Wall Tiles, Wet Area</t>
        </is>
      </c>
      <c r="D69" s="63" t="inlineStr">
        <is>
          <t>m2</t>
        </is>
      </c>
      <c r="E69" s="63" t="n">
        <v>11.16</v>
      </c>
      <c r="F69" s="63" t="inlineStr">
        <is>
          <t>LOW</t>
        </is>
      </c>
      <c r="G69" s="63" t="inlineStr">
        <is>
          <t>inferred</t>
        </is>
      </c>
      <c r="H69" s="63" t="inlineStr">
        <is>
          <t>MANUAL REVIEW REQUIRED. Heuristic estimate — room boundary not source-derived. Perimeter: 2×(√4.5+1)=6.2m (rect-est — no room polygon). Tile area: 6.2m × 1800mm splash zone = 11.16 m². No finish schedule in source documents. Verify tile type, actual room perimeter, splash-zone height, and area from architectural drawings. Deduct door/window openings.</t>
        </is>
      </c>
    </row>
    <row r="70">
      <c r="A70" s="63" t="inlineStr">
        <is>
          <t>I19</t>
        </is>
      </c>
      <c r="B70" s="63" t="inlineStr">
        <is>
          <t>50117</t>
        </is>
      </c>
      <c r="C70" s="63" t="inlineStr">
        <is>
          <t>Hydraulics | Wet Area Waterproofing Membrane</t>
        </is>
      </c>
      <c r="D70" s="63" t="inlineStr">
        <is>
          <t>m2</t>
        </is>
      </c>
      <c r="E70" s="63" t="n">
        <v>5.43</v>
      </c>
      <c r="F70" s="63" t="inlineStr">
        <is>
          <t>LOW</t>
        </is>
      </c>
      <c r="G70" s="63" t="inlineStr">
        <is>
          <t>inferred</t>
        </is>
      </c>
      <c r="H70" s="63" t="inlineStr">
        <is>
          <t>MANUAL REVIEW REQUIRED. Heuristic estimate: floor area (4.50 m²) + 150 mm upstand for Toilet. Perimeter 6.2 m estimated as 4×√4.5 (no room polygon — config estimate). Verify room dimensions and upstand height from architectural drawings.</t>
        </is>
      </c>
    </row>
    <row r="71">
      <c r="A71" s="63" t="inlineStr">
        <is>
          <t>I20</t>
        </is>
      </c>
      <c r="B71" s="63" t="inlineStr">
        <is>
          <t>50117</t>
        </is>
      </c>
      <c r="C71" s="63" t="inlineStr">
        <is>
          <t>Services | Air Conditioning / Mechanical (PLACEHOLDER)</t>
        </is>
      </c>
      <c r="D71" s="63" t="inlineStr">
        <is>
          <t>item</t>
        </is>
      </c>
      <c r="E71" s="63" t="n">
        <v>0</v>
      </c>
      <c r="F71" s="63" t="inlineStr">
        <is>
          <t>LOW</t>
        </is>
      </c>
      <c r="G71" s="63" t="inlineStr">
        <is>
          <t>placeholder</t>
        </is>
      </c>
      <c r="H71" s="63" t="inlineStr">
        <is>
      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      </is>
      </c>
    </row>
    <row r="72">
      <c r="A72" s="63" t="inlineStr">
        <is>
          <t>I21</t>
        </is>
      </c>
      <c r="B72" s="63" t="inlineStr">
        <is>
          <t>50117</t>
        </is>
      </c>
      <c r="C72" s="63" t="inlineStr">
        <is>
          <t>Electrical | Exhaust Fan</t>
        </is>
      </c>
      <c r="D72" s="63" t="inlineStr">
        <is>
          <t>item</t>
        </is>
      </c>
      <c r="E72" s="63" t="n">
        <v>0</v>
      </c>
      <c r="F72" s="63" t="inlineStr">
        <is>
          <t>LOW</t>
        </is>
      </c>
      <c r="G72" s="63" t="inlineStr">
        <is>
          <t>placeholder</t>
        </is>
      </c>
      <c r="H72" s="63" t="inlineStr">
        <is>
          <t>MANUAL REVIEW REQUIRED. PLACEHOLDER. BCA F4.6 requires mechanical exhaust in rooms without openable windows. Confirm exhaust fan type, ducting, and external discharge location from architectural drawings.</t>
        </is>
      </c>
    </row>
    <row r="73">
      <c r="A73" s="63" t="inlineStr">
        <is>
          <t>I22</t>
        </is>
      </c>
      <c r="B73" s="63" t="inlineStr">
        <is>
          <t>50117</t>
        </is>
      </c>
      <c r="C73" s="63" t="inlineStr">
        <is>
          <t>Electrical | Main Switchboard / Distribution Board</t>
        </is>
      </c>
      <c r="D73" s="63" t="inlineStr">
        <is>
          <t>item</t>
        </is>
      </c>
      <c r="E73" s="63" t="n">
        <v>1</v>
      </c>
      <c r="F73" s="63" t="inlineStr">
        <is>
          <t>LOW</t>
        </is>
      </c>
      <c r="G73" s="63" t="inlineStr">
        <is>
          <t>inferred</t>
        </is>
      </c>
      <c r="H73" s="63" t="inlineStr">
        <is>
          <t>MANUAL REVIEW REQUIRED. 1 per building; adjust for sub-boards</t>
        </is>
      </c>
    </row>
    <row r="74">
      <c r="A74" s="63" t="inlineStr">
        <is>
          <t>I23</t>
        </is>
      </c>
      <c r="B74" s="63" t="inlineStr">
        <is>
          <t>50117</t>
        </is>
      </c>
      <c r="C74" s="63" t="inlineStr">
        <is>
          <t>Hydraulics | Main Water Meter / Stopcock</t>
        </is>
      </c>
      <c r="D74" s="63" t="inlineStr">
        <is>
          <t>item</t>
        </is>
      </c>
      <c r="E74" s="63" t="n">
        <v>1</v>
      </c>
      <c r="F74" s="63" t="inlineStr">
        <is>
          <t>LOW</t>
        </is>
      </c>
      <c r="G74" s="63" t="inlineStr">
        <is>
          <t>inferred</t>
        </is>
      </c>
      <c r="H74" s="63" t="inlineStr">
        <is>
          <t>MANUAL REVIEW REQUIRED. Whole-building service allowance.</t>
        </is>
      </c>
    </row>
    <row r="75">
      <c r="A75" s="63" t="inlineStr">
        <is>
          <t>I24</t>
        </is>
      </c>
      <c r="B75" s="63" t="inlineStr">
        <is>
          <t>50117</t>
        </is>
      </c>
      <c r="C75" s="63" t="inlineStr">
        <is>
          <t>Hydraulics | Hot Water System</t>
        </is>
      </c>
      <c r="D75" s="63" t="inlineStr">
        <is>
          <t>item</t>
        </is>
      </c>
      <c r="E75" s="63" t="n">
        <v>1</v>
      </c>
      <c r="F75" s="63" t="inlineStr">
        <is>
          <t>LOW</t>
        </is>
      </c>
      <c r="G75" s="63" t="inlineStr">
        <is>
          <t>inferred</t>
        </is>
      </c>
      <c r="H75" s="63" t="inlineStr">
        <is>
          <t>MANUAL REVIEW REQUIRED. only if not allocated to individual rooms</t>
        </is>
      </c>
    </row>
    <row r="76">
      <c r="A76" s="63" t="inlineStr">
        <is>
          <t>I25</t>
        </is>
      </c>
      <c r="B76" s="63" t="inlineStr">
        <is>
          <t>50117</t>
        </is>
      </c>
      <c r="C76" s="63" t="inlineStr">
        <is>
          <t>Electrical | Smoke Detector</t>
        </is>
      </c>
      <c r="D76" s="63" t="inlineStr">
        <is>
          <t>nr</t>
        </is>
      </c>
      <c r="E76" s="63" t="n">
        <v>2</v>
      </c>
      <c r="F76" s="63" t="inlineStr">
        <is>
          <t>LOW</t>
        </is>
      </c>
      <c r="G76" s="63" t="inlineStr">
        <is>
          <t>inferred</t>
        </is>
      </c>
      <c r="H76" s="63" t="inlineStr">
        <is>
          <t>MANUAL REVIEW REQUIRED. 1 per 40 m² floor area (indicative)</t>
        </is>
      </c>
    </row>
    <row r="77">
      <c r="A77" s="63" t="inlineStr">
        <is>
          <t>C06</t>
        </is>
      </c>
      <c r="B77" s="63" t="inlineStr">
        <is>
          <t>50118</t>
        </is>
      </c>
      <c r="C77" s="63" t="inlineStr">
        <is>
          <t>Insulation | Glasswool Batts, Internal Wall</t>
        </is>
      </c>
      <c r="D77" s="63" t="inlineStr">
        <is>
          <t>m2</t>
        </is>
      </c>
      <c r="E77" s="63" t="n">
        <v>70.56</v>
      </c>
      <c r="F77" s="63" t="inlineStr">
        <is>
          <t>HIGH</t>
        </is>
      </c>
      <c r="G77" s="63" t="inlineStr">
        <is>
          <t>calculated</t>
        </is>
      </c>
      <c r="H77" s="63" t="inlineStr">
        <is>
          <t>MANUAL REVIEW REQUIRED. Acoustic batt insulation in internal partition stud cavities. Area based on single face per wall run (not doubled). Verify with architectural acoustic requirements.</t>
        </is>
      </c>
    </row>
    <row r="78">
      <c r="A78" s="63" t="inlineStr">
        <is>
          <t>J01</t>
        </is>
      </c>
      <c r="B78" s="63" t="inlineStr">
        <is>
          <t>50124</t>
        </is>
      </c>
      <c r="C78" s="63" t="inlineStr">
        <is>
          <t>Stair | Stringer</t>
        </is>
      </c>
      <c r="D78" s="63" t="inlineStr">
        <is>
          <t>nr</t>
        </is>
      </c>
      <c r="E78" s="63" t="n">
        <v>1</v>
      </c>
      <c r="F78" s="63" t="inlineStr">
        <is>
          <t>LOW</t>
        </is>
      </c>
      <c r="G78" s="63" t="inlineStr">
        <is>
          <t>inferred</t>
        </is>
      </c>
      <c r="H78" s="63" t="inlineStr">
        <is>
          <t>MANUAL REVIEW REQUIRED. Entry stair — riser count estimated from raised floor height (~525mm). Verify from architectural drawings.</t>
        </is>
      </c>
    </row>
    <row r="79">
      <c r="A79" s="63" t="inlineStr">
        <is>
          <t>J02</t>
        </is>
      </c>
      <c r="B79" s="63" t="inlineStr">
        <is>
          <t>50124</t>
        </is>
      </c>
      <c r="C79" s="63" t="inlineStr">
        <is>
          <t>Stair | Tread</t>
        </is>
      </c>
      <c r="D79" s="63" t="inlineStr">
        <is>
          <t>nr</t>
        </is>
      </c>
      <c r="E79" s="63" t="n">
        <v>3</v>
      </c>
      <c r="F79" s="63" t="inlineStr">
        <is>
          <t>LOW</t>
        </is>
      </c>
      <c r="G79" s="63" t="inlineStr">
        <is>
          <t>inferred</t>
        </is>
      </c>
      <c r="H79" s="63" t="inlineStr">
        <is>
          <t>MANUAL REVIEW REQUIRED.</t>
        </is>
      </c>
    </row>
    <row r="80">
      <c r="A80" s="63" t="inlineStr">
        <is>
          <t>J04</t>
        </is>
      </c>
      <c r="B80" s="63" t="inlineStr">
        <is>
          <t>50124</t>
        </is>
      </c>
      <c r="C80" s="63" t="inlineStr">
        <is>
          <t>Stair | Balustrade Top Rail</t>
        </is>
      </c>
      <c r="D80" s="63" t="inlineStr">
        <is>
          <t>lm</t>
        </is>
      </c>
      <c r="E80" s="63" t="n">
        <v>0.75</v>
      </c>
      <c r="F80" s="63" t="inlineStr">
        <is>
          <t>LOW</t>
        </is>
      </c>
      <c r="G80" s="63" t="inlineStr">
        <is>
          <t>calculated</t>
        </is>
      </c>
      <c r="H80" s="63" t="inlineStr">
        <is>
          <t>MANUAL REVIEW REQUIRED. Verify length from architectural drawings.</t>
        </is>
      </c>
    </row>
    <row r="81">
      <c r="A81" s="63" t="inlineStr">
        <is>
          <t>J05</t>
        </is>
      </c>
      <c r="B81" s="63" t="inlineStr">
        <is>
          <t>50124</t>
        </is>
      </c>
      <c r="C81" s="63" t="inlineStr">
        <is>
          <t>Stair | Balustrade Post</t>
        </is>
      </c>
      <c r="D81" s="63" t="inlineStr">
        <is>
          <t>nr</t>
        </is>
      </c>
      <c r="E81" s="63" t="n">
        <v>1</v>
      </c>
      <c r="F81" s="63" t="inlineStr">
        <is>
          <t>LOW</t>
        </is>
      </c>
      <c r="G81" s="63" t="inlineStr">
        <is>
          <t>calculated</t>
        </is>
      </c>
      <c r="H81" s="63" t="inlineStr">
        <is>
          <t>MANUAL REVIEW REQUIRED. 1 post per 1.2 m spacing. Verify from balustrade schedule.</t>
        </is>
      </c>
    </row>
    <row r="82">
      <c r="A82" s="63" t="inlineStr">
        <is>
          <t>J06</t>
        </is>
      </c>
      <c r="B82" s="63" t="inlineStr">
        <is>
          <t>50124</t>
        </is>
      </c>
      <c r="C82" s="63" t="inlineStr">
        <is>
          <t>Stair | Balustrade Infill</t>
        </is>
      </c>
      <c r="D82" s="63" t="inlineStr">
        <is>
          <t>m2</t>
        </is>
      </c>
      <c r="E82" s="63" t="n">
        <v>0.75</v>
      </c>
      <c r="F82" s="63" t="inlineStr">
        <is>
          <t>LOW</t>
        </is>
      </c>
      <c r="G82" s="63" t="inlineStr">
        <is>
          <t>inferred</t>
        </is>
      </c>
      <c r="H82" s="63" t="inlineStr">
        <is>
          <t>MANUAL REVIEW REQUIRED. Infill height assumed 1.0 m. Adjust for guard height requirement (≥1.0 m at &gt;1.0 m fall).</t>
        </is>
      </c>
    </row>
    <row r="83">
      <c r="A83" s="63" t="inlineStr">
        <is>
          <t>J07</t>
        </is>
      </c>
      <c r="B83" s="63" t="inlineStr">
        <is>
          <t>50124</t>
        </is>
      </c>
      <c r="C83" s="63" t="inlineStr">
        <is>
          <t>Stair | Handrail</t>
        </is>
      </c>
      <c r="D83" s="63" t="inlineStr">
        <is>
          <t>lm</t>
        </is>
      </c>
      <c r="E83" s="63" t="n">
        <v>0.75</v>
      </c>
      <c r="F83" s="63" t="inlineStr">
        <is>
          <t>LOW</t>
        </is>
      </c>
      <c r="G83" s="63" t="inlineStr">
        <is>
          <t>calculated</t>
        </is>
      </c>
      <c r="H83" s="63" t="inlineStr">
        <is>
          <t>MANUAL REVIEW REQUIRED. Verify handrail length. Continuous rail both sides of flight where required by code.</t>
        </is>
      </c>
    </row>
    <row r="84">
      <c r="A84" s="63" t="inlineStr">
        <is>
          <t>J08</t>
        </is>
      </c>
      <c r="B84" s="63" t="inlineStr">
        <is>
          <t>50124</t>
        </is>
      </c>
      <c r="C84" s="63" t="inlineStr">
        <is>
          <t>Access Ramp | Surface, Concrete / Non-slip</t>
        </is>
      </c>
      <c r="D84" s="63" t="inlineStr">
        <is>
          <t>m2</t>
        </is>
      </c>
      <c r="E84" s="63" t="n">
        <v>8.82</v>
      </c>
      <c r="F84" s="63" t="inlineStr">
        <is>
          <t>LOW</t>
        </is>
      </c>
      <c r="G84" s="63" t="inlineStr">
        <is>
          <t>inferred</t>
        </is>
      </c>
      <c r="H84" s="63" t="inlineStr">
        <is>
          <t>MANUAL REVIEW REQUIRED. Access ramp: 1:14 gradient, stair: 3 risers × 175 mm = 525 mm → 7.35 m run × 1.2 m wide = 8.82 m². Verify need and exact dimensions from architectural drawings and BCA D3.3.</t>
        </is>
      </c>
    </row>
    <row r="85">
      <c r="A85" s="63" t="inlineStr">
        <is>
          <t>J09</t>
        </is>
      </c>
      <c r="B85" s="63" t="inlineStr">
        <is>
          <t>50124</t>
        </is>
      </c>
      <c r="C85" s="63" t="inlineStr">
        <is>
          <t>Access Ramp | (type by design)</t>
        </is>
      </c>
      <c r="D85" s="63" t="inlineStr">
        <is>
          <t>lm</t>
        </is>
      </c>
      <c r="E85" s="63" t="n">
        <v>14.7</v>
      </c>
      <c r="F85" s="63" t="inlineStr">
        <is>
          <t>LOW</t>
        </is>
      </c>
      <c r="G85" s="63" t="inlineStr">
        <is>
          <t>inferred</t>
        </is>
      </c>
      <c r="H85" s="63" t="inlineStr">
        <is>
          <t>MANUAL REVIEW REQUIRED. Continuous handrails both sides of ramp. Verify height and spec from architectural drawings.</t>
        </is>
      </c>
    </row>
    <row r="86">
      <c r="A86" s="63" t="inlineStr">
        <is>
          <t>J10</t>
        </is>
      </c>
      <c r="B86" s="63" t="inlineStr">
        <is>
          <t>50124</t>
        </is>
      </c>
      <c r="C86" s="63" t="inlineStr">
        <is>
          <t>Access Ramp | Edge Kerb / Guard</t>
        </is>
      </c>
      <c r="D86" s="63" t="inlineStr">
        <is>
          <t>lm</t>
        </is>
      </c>
      <c r="E86" s="63" t="n">
        <v>14.7</v>
      </c>
      <c r="F86" s="63" t="inlineStr">
        <is>
          <t>LOW</t>
        </is>
      </c>
      <c r="G86" s="63" t="inlineStr">
        <is>
          <t>inferred</t>
        </is>
      </c>
      <c r="H86" s="63" t="inlineStr">
        <is>
          <t>MANUAL REVIEW REQUIRED. Kerb guard (min 75 mm high) both sides. Verify from architectural drawings.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64" t="inlineStr">
        <is>
          <t>QA SUMMARY REPORT</t>
        </is>
      </c>
    </row>
    <row r="3">
      <c r="A3" s="65" t="inlineStr">
        <is>
          <t>QUANTITY PROVENANCE</t>
        </is>
      </c>
    </row>
    <row r="4">
      <c r="A4" t="inlineStr">
        <is>
          <t>Total Items</t>
        </is>
      </c>
      <c r="B4" t="n">
        <v>222</v>
      </c>
    </row>
    <row r="5">
      <c r="A5" t="inlineStr">
        <is>
          <t>Measured</t>
        </is>
      </c>
      <c r="B5" t="n">
        <v>22</v>
      </c>
    </row>
    <row r="6">
      <c r="A6" t="inlineStr">
        <is>
          <t>Calculated</t>
        </is>
      </c>
      <c r="B6" t="n">
        <v>157</v>
      </c>
    </row>
    <row r="7">
      <c r="A7" t="inlineStr">
        <is>
          <t>Inferred</t>
        </is>
      </c>
      <c r="B7" t="n">
        <v>38</v>
      </c>
    </row>
    <row r="8">
      <c r="A8" t="inlineStr">
        <is>
          <t>Placeholder</t>
        </is>
      </c>
      <c r="B8" t="n">
        <v>5</v>
      </c>
    </row>
    <row r="9">
      <c r="A9" t="inlineStr">
        <is>
          <t>Manual Review</t>
        </is>
      </c>
      <c r="B9" t="n">
        <v>85</v>
      </c>
    </row>
    <row r="11">
      <c r="A11" s="65" t="inlineStr">
        <is>
          <t>CONFIDENCE BREAKDOWN</t>
        </is>
      </c>
    </row>
    <row r="12">
      <c r="A12" t="inlineStr">
        <is>
          <t>HIGH</t>
        </is>
      </c>
      <c r="B12" t="n">
        <v>39</v>
      </c>
      <c r="C12" t="inlineStr">
        <is>
          <t>17.6%</t>
        </is>
      </c>
    </row>
    <row r="13">
      <c r="A13" t="inlineStr">
        <is>
          <t>MEDIUM</t>
        </is>
      </c>
      <c r="B13" t="n">
        <v>106</v>
      </c>
      <c r="C13" t="inlineStr">
        <is>
          <t>47.7%</t>
        </is>
      </c>
    </row>
    <row r="14">
      <c r="A14" t="inlineStr">
        <is>
          <t>LOW</t>
        </is>
      </c>
      <c r="B14" t="n">
        <v>77</v>
      </c>
      <c r="C14" t="inlineStr">
        <is>
          <t>34.7%</t>
        </is>
      </c>
    </row>
    <row r="16">
      <c r="A16" s="65" t="inlineStr">
        <is>
          <t>PACKAGE COMPLETENESS (V3 sections)</t>
        </is>
      </c>
    </row>
    <row r="17">
      <c r="A17" s="65" t="inlineStr">
        <is>
          <t>Package</t>
        </is>
      </c>
      <c r="B17" s="65" t="inlineStr">
        <is>
          <t>Status</t>
        </is>
      </c>
      <c r="C17" s="65" t="inlineStr">
        <is>
          <t>Items</t>
        </is>
      </c>
      <c r="D17" s="65" t="inlineStr">
        <is>
          <t>Measured</t>
        </is>
      </c>
      <c r="E17" s="65" t="inlineStr">
        <is>
          <t>Calculated</t>
        </is>
      </c>
      <c r="F17" s="65" t="inlineStr">
        <is>
          <t>Inferred</t>
        </is>
      </c>
      <c r="G17" s="65" t="inlineStr">
        <is>
          <t>Placeholder</t>
        </is>
      </c>
    </row>
    <row r="18">
      <c r="A18" t="inlineStr">
        <is>
          <t>structural_frame</t>
        </is>
      </c>
      <c r="B18" t="inlineStr">
        <is>
          <t>OK</t>
        </is>
      </c>
      <c r="C18" t="n">
        <v>7</v>
      </c>
      <c r="D18" t="n">
        <v>7</v>
      </c>
      <c r="E18" t="n">
        <v>0</v>
      </c>
      <c r="F18" t="n">
        <v>0</v>
      </c>
      <c r="G18" t="n">
        <v>0</v>
      </c>
    </row>
    <row r="19">
      <c r="A19" t="inlineStr">
        <is>
          <t>roof_cladding</t>
        </is>
      </c>
      <c r="B19" t="inlineStr">
        <is>
          <t>OK</t>
        </is>
      </c>
      <c r="C19" t="n">
        <v>4</v>
      </c>
      <c r="D19" t="n">
        <v>0</v>
      </c>
      <c r="E19" t="n">
        <v>4</v>
      </c>
      <c r="F19" t="n">
        <v>0</v>
      </c>
      <c r="G19" t="n">
        <v>0</v>
      </c>
    </row>
    <row r="20">
      <c r="A20" t="inlineStr">
        <is>
          <t>openings_doors</t>
        </is>
      </c>
      <c r="B20" t="inlineStr">
        <is>
          <t>OK</t>
        </is>
      </c>
      <c r="C20" t="n">
        <v>7</v>
      </c>
      <c r="D20" t="n">
        <v>4</v>
      </c>
      <c r="E20" t="n">
        <v>3</v>
      </c>
      <c r="F20" t="n">
        <v>0</v>
      </c>
      <c r="G20" t="n">
        <v>0</v>
      </c>
    </row>
    <row r="21">
      <c r="A21" t="inlineStr">
        <is>
          <t>openings_windows</t>
        </is>
      </c>
      <c r="B21" t="inlineStr">
        <is>
          <t>OK</t>
        </is>
      </c>
      <c r="C21" t="n">
        <v>14</v>
      </c>
      <c r="D21" t="n">
        <v>4</v>
      </c>
      <c r="E21" t="n">
        <v>10</v>
      </c>
      <c r="F21" t="n">
        <v>0</v>
      </c>
      <c r="G21" t="n">
        <v>0</v>
      </c>
    </row>
    <row r="22">
      <c r="A22" t="inlineStr">
        <is>
          <t>wall_lining_external</t>
        </is>
      </c>
      <c r="B22" t="inlineStr">
        <is>
          <t>OK</t>
        </is>
      </c>
      <c r="C22" t="n">
        <v>5</v>
      </c>
      <c r="D22" t="n">
        <v>0</v>
      </c>
      <c r="E22" t="n">
        <v>5</v>
      </c>
      <c r="F22" t="n">
        <v>0</v>
      </c>
      <c r="G22" t="n">
        <v>0</v>
      </c>
    </row>
    <row r="23">
      <c r="A23" t="inlineStr">
        <is>
          <t>wall_lining_internal</t>
        </is>
      </c>
      <c r="B23" t="inlineStr">
        <is>
          <t>OK</t>
        </is>
      </c>
      <c r="C23" t="n">
        <v>5</v>
      </c>
      <c r="D23" t="n">
        <v>0</v>
      </c>
      <c r="E23" t="n">
        <v>5</v>
      </c>
      <c r="F23" t="n">
        <v>0</v>
      </c>
      <c r="G23" t="n">
        <v>0</v>
      </c>
    </row>
    <row r="24">
      <c r="A24" t="inlineStr">
        <is>
          <t>ceiling_lining</t>
        </is>
      </c>
      <c r="B24" t="inlineStr">
        <is>
          <t>OK</t>
        </is>
      </c>
      <c r="C24" t="n">
        <v>8</v>
      </c>
      <c r="D24" t="n">
        <v>0</v>
      </c>
      <c r="E24" t="n">
        <v>8</v>
      </c>
      <c r="F24" t="n">
        <v>0</v>
      </c>
      <c r="G24" t="n">
        <v>0</v>
      </c>
    </row>
    <row r="25">
      <c r="A25" t="inlineStr">
        <is>
          <t>finishes</t>
        </is>
      </c>
      <c r="B25" t="inlineStr">
        <is>
          <t>OK</t>
        </is>
      </c>
      <c r="C25" t="n">
        <v>9</v>
      </c>
      <c r="D25" t="n">
        <v>0</v>
      </c>
      <c r="E25" t="n">
        <v>9</v>
      </c>
      <c r="F25" t="n">
        <v>0</v>
      </c>
      <c r="G25" t="n">
        <v>0</v>
      </c>
    </row>
    <row r="26">
      <c r="A26" t="inlineStr">
        <is>
          <t>floor_system</t>
        </is>
      </c>
      <c r="B26" t="inlineStr">
        <is>
          <t>OK</t>
        </is>
      </c>
      <c r="C26" t="n">
        <v>18</v>
      </c>
      <c r="D26" t="n">
        <v>0</v>
      </c>
      <c r="E26" t="n">
        <v>18</v>
      </c>
      <c r="F26" t="n">
        <v>0</v>
      </c>
      <c r="G26" t="n">
        <v>0</v>
      </c>
    </row>
    <row r="27">
      <c r="A27" t="inlineStr">
        <is>
          <t>footings</t>
        </is>
      </c>
      <c r="B27" t="inlineStr">
        <is>
          <t>OK</t>
        </is>
      </c>
      <c r="C27" t="n">
        <v>16</v>
      </c>
      <c r="D27" t="n">
        <v>1</v>
      </c>
      <c r="E27" t="n">
        <v>12</v>
      </c>
      <c r="F27" t="n">
        <v>2</v>
      </c>
      <c r="G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25</v>
      </c>
      <c r="D28" t="n">
        <v>0</v>
      </c>
      <c r="E28" t="n">
        <v>0</v>
      </c>
      <c r="F28" t="n">
        <v>23</v>
      </c>
      <c r="G28" t="n">
        <v>2</v>
      </c>
    </row>
    <row r="29">
      <c r="A29" t="inlineStr">
        <is>
          <t>insulation</t>
        </is>
      </c>
      <c r="B29" t="inlineStr">
        <is>
          <t>OK</t>
        </is>
      </c>
      <c r="C29" t="n">
        <v>7</v>
      </c>
      <c r="D29" t="n">
        <v>0</v>
      </c>
      <c r="E29" t="n">
        <v>7</v>
      </c>
      <c r="F29" t="n">
        <v>0</v>
      </c>
      <c r="G29" t="n">
        <v>0</v>
      </c>
    </row>
    <row r="31">
      <c r="A31" s="65" t="inlineStr">
        <is>
          <t>WARNINGS / ISSUES</t>
        </is>
      </c>
    </row>
    <row r="32">
      <c r="A32" t="inlineStr">
        <is>
          <t>GRAPHICAL RECOVERY: 2 BOQ field(s) promoted from DXF annotation / OCR evidence.</t>
        </is>
      </c>
    </row>
    <row r="33">
      <c r="A33" t="inlineStr">
        <is>
          <t>Template contamination check: PASSED — no BOQ template quantities detected.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64" t="inlineStr">
        <is>
          <t>SOURCE SUMMARY</t>
        </is>
      </c>
    </row>
    <row r="3">
      <c r="A3" s="65" t="inlineStr">
        <is>
          <t>Input Files</t>
        </is>
      </c>
    </row>
    <row r="4">
      <c r="A4" t="inlineStr">
        <is>
          <t>ANGAU PHARMACY 01_arch.dxf</t>
        </is>
      </c>
    </row>
    <row r="5">
      <c r="A5" t="inlineStr">
        <is>
          <t>Angau Pharmacy.ifc</t>
        </is>
      </c>
    </row>
    <row r="6">
      <c r="A6" t="inlineStr">
        <is>
          <t>Angau Pharmacy Summary.pdf</t>
        </is>
      </c>
    </row>
    <row r="8">
      <c r="A8" s="65" t="inlineStr">
        <is>
          <t>Quantity Status Breakdown by Source</t>
        </is>
      </c>
    </row>
    <row r="9">
      <c r="A9" t="inlineStr">
        <is>
          <t>building_type=pharmacy</t>
        </is>
      </c>
      <c r="B9" t="n">
        <v>2</v>
      </c>
    </row>
    <row r="10">
      <c r="A10" t="inlineStr">
        <is>
          <t>ceiling_area=49.00</t>
        </is>
      </c>
      <c r="B10" t="n">
        <v>1</v>
      </c>
    </row>
    <row r="11">
      <c r="A11" t="inlineStr">
        <is>
          <t>config_backed → space_model</t>
        </is>
      </c>
      <c r="B11" t="n">
        <v>6</v>
      </c>
    </row>
    <row r="12">
      <c r="A12" t="inlineStr">
        <is>
          <t>derived</t>
        </is>
      </c>
      <c r="B12" t="n">
        <v>16</v>
      </c>
    </row>
    <row r="13">
      <c r="A13" t="inlineStr">
        <is>
          <t>derived from clip count</t>
        </is>
      </c>
      <c r="B13" t="n">
        <v>1</v>
      </c>
    </row>
    <row r="14">
      <c r="A14" t="inlineStr">
        <is>
          <t>derived from project_config</t>
        </is>
      </c>
      <c r="B14" t="n">
        <v>1</v>
      </c>
    </row>
    <row r="15">
      <c r="A15" t="inlineStr">
        <is>
          <t>derived from ramp run</t>
        </is>
      </c>
      <c r="B15" t="n">
        <v>2</v>
      </c>
    </row>
    <row r="16">
      <c r="A16" t="inlineStr">
        <is>
          <t>derived_steel_floor</t>
        </is>
      </c>
      <c r="B16" t="n">
        <v>5</v>
      </c>
    </row>
    <row r="17">
      <c r="A17" t="inlineStr">
        <is>
          <t>dxf_blocks</t>
        </is>
      </c>
      <c r="B17" t="n">
        <v>32</v>
      </c>
    </row>
    <row r="18">
      <c r="A18" t="inlineStr">
        <is>
          <t>dxf_blocks+framecad_labels</t>
        </is>
      </c>
      <c r="B18" t="n">
        <v>1</v>
      </c>
    </row>
    <row r="19">
      <c r="A19" t="inlineStr">
        <is>
          <t>dxf_geometry</t>
        </is>
      </c>
      <c r="B19" t="n">
        <v>64</v>
      </c>
    </row>
    <row r="20">
      <c r="A20" t="inlineStr">
        <is>
          <t>enclosed_floor_area=64.80</t>
        </is>
      </c>
      <c r="B20" t="n">
        <v>4</v>
      </c>
    </row>
    <row r="21">
      <c r="A21" t="inlineStr">
        <is>
          <t>export_layer</t>
        </is>
      </c>
      <c r="B21" t="n">
        <v>36</v>
      </c>
    </row>
    <row r="22">
      <c r="A22" t="inlineStr">
        <is>
          <t>ext_walls</t>
        </is>
      </c>
      <c r="B22" t="n">
        <v>1</v>
      </c>
    </row>
    <row r="23">
      <c r="A23" t="inlineStr">
        <is>
          <t>framecad_bom</t>
        </is>
      </c>
      <c r="B23" t="n">
        <v>14</v>
      </c>
    </row>
    <row r="24">
      <c r="A24" t="inlineStr">
        <is>
          <t>framecad_dwg</t>
        </is>
      </c>
      <c r="B24" t="n">
        <v>9</v>
      </c>
    </row>
    <row r="25">
      <c r="A25" t="inlineStr">
        <is>
          <t>framecad_dwg+dxf_geometry</t>
        </is>
      </c>
      <c r="B25" t="n">
        <v>8</v>
      </c>
    </row>
    <row r="26">
      <c r="A26" t="inlineStr">
        <is>
          <t>framecad_layout</t>
        </is>
      </c>
      <c r="B26" t="n">
        <v>2</v>
      </c>
    </row>
    <row r="27">
      <c r="A27" t="inlineStr">
        <is>
          <t>framecad_panel_label_ocr</t>
        </is>
      </c>
      <c r="B27" t="n">
        <v>16</v>
      </c>
    </row>
    <row r="28">
      <c r="A28" t="inlineStr">
        <is>
          <t>ifc_model</t>
        </is>
      </c>
      <c r="B28" t="n">
        <v>2</v>
      </c>
    </row>
    <row r="29">
      <c r="A29" t="inlineStr">
        <is>
          <t>no</t>
        </is>
      </c>
      <c r="B29" t="n">
        <v>3</v>
      </c>
    </row>
    <row r="30">
      <c r="A30" t="inlineStr">
        <is>
          <t>project_config</t>
        </is>
      </c>
      <c r="B30" t="n">
        <v>7</v>
      </c>
    </row>
    <row r="31">
      <c r="A31" t="inlineStr">
        <is>
          <t>room</t>
        </is>
      </c>
      <c r="B31" t="n">
        <v>2</v>
      </c>
    </row>
    <row r="32">
      <c r="A32" t="inlineStr">
        <is>
          <t>room_schedule</t>
        </is>
      </c>
      <c r="B32" t="n">
        <v>17</v>
      </c>
    </row>
    <row r="33">
      <c r="A33" t="inlineStr">
        <is>
          <t>spaces=['Toilet']</t>
        </is>
      </c>
      <c r="B33" t="n">
        <v>5</v>
      </c>
    </row>
    <row r="34">
      <c r="A34" t="inlineStr">
        <is>
          <t>total_paint_area=282.28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2026-04-16T01:34:10Z</dcterms:created>
  <dcterms:modified xsi:type="dcterms:W3CDTF">2026-04-16T01:34:10Z</dcterms:modified>
</cp:coreProperties>
</file>