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DDC\n8n\boq-system\New folder\get-demo1-copy-main\get-demo1-copy-main\boq-system\v3_boq_system\outputs\project2\bulk_improvement\"/>
    </mc:Choice>
  </mc:AlternateContent>
  <xr:revisionPtr revIDLastSave="0" documentId="8_{9721E913-BEFF-461D-B022-69AEF72D17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Q" sheetId="1" r:id="rId1"/>
    <sheet name="Traceability" sheetId="2" r:id="rId2"/>
    <sheet name="Manual Review" sheetId="3" r:id="rId3"/>
    <sheet name="QA Summary" sheetId="4" r:id="rId4"/>
    <sheet name="Source Summary" sheetId="5" r:id="rId5"/>
  </sheets>
  <definedNames>
    <definedName name="_xlnm._FilterDatabase" localSheetId="0" hidden="1">BOQ!$A$2:$I$184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2" i="2" l="1"/>
  <c r="I172" i="2"/>
  <c r="K171" i="2"/>
  <c r="I167" i="2"/>
  <c r="I164" i="2"/>
  <c r="K159" i="2"/>
  <c r="I159" i="2"/>
  <c r="I131" i="2"/>
  <c r="K71" i="2"/>
  <c r="K30" i="2"/>
  <c r="I30" i="2"/>
  <c r="K28" i="2"/>
  <c r="I28" i="2"/>
  <c r="K26" i="2"/>
  <c r="I26" i="2"/>
</calcChain>
</file>

<file path=xl/sharedStrings.xml><?xml version="1.0" encoding="utf-8"?>
<sst xmlns="http://schemas.openxmlformats.org/spreadsheetml/2006/main" count="3321" uniqueCount="1000">
  <si>
    <t>BILL OF QUANTITIES — project2</t>
  </si>
  <si>
    <t>STOCK CODE</t>
  </si>
  <si>
    <t>MATERIALS DESCRIPTION</t>
  </si>
  <si>
    <t>QTY</t>
  </si>
  <si>
    <t>RATE (PGK)</t>
  </si>
  <si>
    <t>AMOUNT (PGK)</t>
  </si>
  <si>
    <t>CONFIDENCE</t>
  </si>
  <si>
    <t>SOURCE</t>
  </si>
  <si>
    <t>NOTES / DRAWING REF</t>
  </si>
  <si>
    <t>50106 - WPC (Timber)</t>
  </si>
  <si>
    <t>Timber Skirting | 25 x 75 x 2400mm Timber</t>
  </si>
  <si>
    <t>calculated</t>
  </si>
  <si>
    <t>MEDIUM</t>
  </si>
  <si>
    <t>ext_walls</t>
  </si>
  <si>
    <t xml:space="preserve">Skirting = external wall interior face + both faces of internal partitions, minus door opening widths. Door gap deductions: ext_doors=0.920 m (DOOR_90×1); int_doors_×2f=8.000 m (DOOR_82×4, DOOR_72×1). Gross=97.2 m → net=88.3 m. </t>
  </si>
  <si>
    <t>Floor Finish | (type by room)</t>
  </si>
  <si>
    <t>config room_schedule</t>
  </si>
  <si>
    <t>Dry floor finish area from room schedule (5 rooms). Verandah (21.6 m²) excluded — has separate decking row. Verify room areas from architectural drawings.</t>
  </si>
  <si>
    <t>Wet floor finish (ceramic tile / non-slip) for wet areas: Toilet (4.50 m²). Verify with architect.</t>
  </si>
  <si>
    <t>Paint | External, two coats</t>
  </si>
  <si>
    <t>dxf_geometry</t>
  </si>
  <si>
    <t>Gross area; no deduction for openings.</t>
  </si>
  <si>
    <t>Paint | Internal, two coats</t>
  </si>
  <si>
    <t>ceiling_area=64.80 m²; int_wal</t>
  </si>
  <si>
    <t xml:space="preserve">Both faces of internal partitions included. </t>
  </si>
  <si>
    <t>50107 - Structural &amp; Base Steel &amp; Footings</t>
  </si>
  <si>
    <t>FrameCAD Roof Panel | LGS C89, 0.75BMT, G550, Z275</t>
  </si>
  <si>
    <t>measured</t>
  </si>
  <si>
    <t>HIGH</t>
  </si>
  <si>
    <t>framecad_bom</t>
  </si>
  <si>
    <t>FrameCAD Roof Truss | LGS C89, 0.75BMT, G550, Z275</t>
  </si>
  <si>
    <t>QA NOTE: FrameCAD BOM 'Roof Trusses' tab total includes all roof structural members (truss chords, webs, purlin/rafter runs). This is the correct procurement quantity. An assembled-frame-count comparison will show a lower lm figure — the difference is expected and not a data error.</t>
  </si>
  <si>
    <t>FrameCAD Wall Frame | LGS C89, all wall members</t>
  </si>
  <si>
    <t>FrameCAD Lintel | LGS, lintel members</t>
  </si>
  <si>
    <t>FrameCAD Wall Strap | Diagonal strap brace</t>
  </si>
  <si>
    <t>External Works | Verandah Frame</t>
  </si>
  <si>
    <t>ifc_model</t>
  </si>
  <si>
    <t>Steel Post | 75 x 4mm SHS, Q345, HDG600</t>
  </si>
  <si>
    <t>Roof Batten | 41mm Top Hat, G550, Z275</t>
  </si>
  <si>
    <t>BOM total 266 pieces (1385.3 lm) — all batten zones. Grade split: ≥35mm (roof top-hat) = 85 nr / 510.0 lm; &lt;35mm (ceiling/wall) = 181 nr / 875.3 lm. Zone separation inferred from BOM grade — see per-family rows below.</t>
  </si>
  <si>
    <t>Ceiling Batten | G22</t>
  </si>
  <si>
    <t>LOW</t>
  </si>
  <si>
    <t>Ceiling/wall batten (grade 22mm &lt;35mm threshold). 4800mm stock length. Total: 844.8 lm. Zone inferred from grade — confirm against FrameCAD batten schedule.</t>
  </si>
  <si>
    <t>Ceiling/wall batten (grade 22mm &lt;35mm threshold). 6100mm stock length. Total: 30.5 lm. Zone inferred from grade — confirm against FrameCAD batten schedule.</t>
  </si>
  <si>
    <t>Roof top-hat batten (grade 40mm ≥35mm threshold). 6000mm stock length. Total: 510.0 lm. Zone inferred from grade — confirm against FrameCAD batten schedule.</t>
  </si>
  <si>
    <t>Floor Panel | 1.8kPa Standard Load</t>
  </si>
  <si>
    <t>inferred</t>
  </si>
  <si>
    <t>project_config</t>
  </si>
  <si>
    <t>MANUAL REVIEW REQUIRED. General pharmacy areas (waiting, consultation, staff, storage). 70% area estimate from building use. No FrameCAD floor tab available — obtain actual panel schedule from engineer. Panel dimensions assumed 600mm × 3600mm (2.16m² each).</t>
  </si>
  <si>
    <t>Floor Joist | LGS C150, 1.8kPa Zone</t>
  </si>
  <si>
    <t>MANUAL REVIEW REQUIRED. General pharmacy areas (waiting, consultation, staff, storage). 70% area estimate from building use. No FrameCAD floor tab available — obtain actual panel schedule from engineer. Joist count at 450mm spacing across 7.2m span, 9.0m run.</t>
  </si>
  <si>
    <t>Floor Bearer | 1.8kPa Zone, pair</t>
  </si>
  <si>
    <t>MANUAL REVIEW REQUIRED. General pharmacy areas (waiting, consultation, staff, storage). 70% area estimate from building use. No FrameCAD floor tab available — obtain actual panel schedule from engineer. Bearer pairs at 1800mm spacing. Verify from structural schedule.</t>
  </si>
  <si>
    <t>Floor Panel | 4kPa High Load</t>
  </si>
  <si>
    <t>MANUAL REVIEW REQUIRED. Dispensary area with heavy shelving/equipment. 30% area estimate. Obtain actual panel schedule from FrameCAD engineer before ordering. Panel dimensions assumed 600mm × 3600mm (2.16m² each).</t>
  </si>
  <si>
    <t>Floor Joist | LGS C150, 4kPa Zone</t>
  </si>
  <si>
    <t>MANUAL REVIEW REQUIRED. Dispensary area with heavy shelving/equipment. 30% area estimate. Obtain actual panel schedule from FrameCAD engineer before ordering. Joist count at 450mm spacing across 7.2m span, 9.0m run.</t>
  </si>
  <si>
    <t>Floor Bearer | 4kPa Zone, pair</t>
  </si>
  <si>
    <t>MANUAL REVIEW REQUIRED. Dispensary area with heavy shelving/equipment. 30% area estimate. Obtain actual panel schedule from FrameCAD engineer before ordering. Bearer pairs at 1800mm spacing. Verify from structural schedule.</t>
  </si>
  <si>
    <t>FC Sheet Floor | 18mm thk, 1200 x 2400 Sheet</t>
  </si>
  <si>
    <t>project_config+dxf_geometry</t>
  </si>
  <si>
    <t>MANUAL REVIEW REQUIRED. Sheet size assumed same as ceiling FC sheet (1.2×2.4). Adjust if different.</t>
  </si>
  <si>
    <t>Fixing | FC Floor Sheet Screw</t>
  </si>
  <si>
    <t>16 fixings per sheet; 200 per box.</t>
  </si>
  <si>
    <t>Substructure | Strip Footing, External Perimeter</t>
  </si>
  <si>
    <t>derived_steel_floor</t>
  </si>
  <si>
    <t>Strip footing assumed for steel floor frame bearing lines. Assumed 500 mm deep × 400 mm wide. Verify type and dimensions from structural drawings.</t>
  </si>
  <si>
    <t>Substructure | Strip Footing Concrete Volume</t>
  </si>
  <si>
    <t>MANUAL REVIEW REQUIRED. Strip footing assumed for steel floor frame bearing lines. Assumed 500 mm deep × 400 mm wide. Verify type and dimensions from structural drawings.</t>
  </si>
  <si>
    <t>Substructure | Strip Footing Formwork</t>
  </si>
  <si>
    <t>Substructure | Bulk Earthworks / Level (provisional)</t>
  </si>
  <si>
    <t>placeholder</t>
  </si>
  <si>
    <t>no site survey in sources</t>
  </si>
  <si>
    <t>MANUAL REVIEW REQUIRED. Excavation volume cannot be derived from architectural documents.</t>
  </si>
  <si>
    <t>Substructure | Strip Footing, Internal Bearing</t>
  </si>
  <si>
    <t>Internal bearing lines assumed at each internal wall run. Total: 29.4 lm. Verify from structural drawings — actual bearing lines may differ from partition walls.</t>
  </si>
  <si>
    <t>derived</t>
  </si>
  <si>
    <t>MANUAL REVIEW REQUIRED. Assumed 500 mm deep × 400 mm wide. Verify.</t>
  </si>
  <si>
    <t>Substructure | Pad Footing, Concrete</t>
  </si>
  <si>
    <t>Substructure | Pad Footing Concrete Volume</t>
  </si>
  <si>
    <t>MANUAL REVIEW REQUIRED. Assumes 700×700×700 mm pads. Verify from structural engineer.</t>
  </si>
  <si>
    <t>50111 - Fixings &amp; Connectors</t>
  </si>
  <si>
    <t>Fixing | 12G-14x20mm HEX Head, DP</t>
  </si>
  <si>
    <t>MANUAL REVIEW REQUIRED. Stud-to-track connections: 2300.4lm × 4.0 per m = ~9202 screws, 19 boxes (500/box). Density: 2 screws per stud end (top+bottom). Verify with FrameCAD connection schedule.</t>
  </si>
  <si>
    <t>Fixing | 10G-24x40mm Countersunk, DP</t>
  </si>
  <si>
    <t>MANUAL REVIEW REQUIRED. Purlin-to-rafter / roof panel connections: 481.7lm × 3.0 per m = ~1445 screws, 3 boxes. Verify with FrameCAD connection report.</t>
  </si>
  <si>
    <t>Fixing | 10G-14x16mm Wafer Head, DP</t>
  </si>
  <si>
    <t>MANUAL REVIEW REQUIRED. Batten-to-purlin connections: 1385.3lm total batten × 2.5 per m = ~3463. Includes roof, wall, and ceiling batten zones from FrameCAD BOM. Verify zone scope before ordering.</t>
  </si>
  <si>
    <t>Fixing | M12 x 75mm Sleeve Anchor (Pad Footings)</t>
  </si>
  <si>
    <t>MANUAL REVIEW REQUIRED. 15 pad footings × 4 M12×75 anchors each (4-bolt base plate). Verify anchor embedment depth and edge distance from structural engineer.</t>
  </si>
  <si>
    <t>PH Bracket | Post Holder (PHA/PHB/PHD)</t>
  </si>
  <si>
    <t>MANUAL REVIEW REQUIRED. Post holder brackets at column bases. Count estimated from IFC steel post lm. Verify bracket type (PHA/PHB/PHD) against post size and load from structural drawings.</t>
  </si>
  <si>
    <t>Accessories | Triple Grip Connector (Pryda)</t>
  </si>
  <si>
    <t>MANUAL REVIEW REQUIRED. Roof-to-wall-plate cyclonic uplift connections at 1.2m centres along 42.4m eave line = 36 nr. Verify spacing and type from structural engineer (cyclone region requirement).</t>
  </si>
  <si>
    <t>Accessories | Hold Down Washer, Cyclonic</t>
  </si>
  <si>
    <t>MANUAL REVIEW REQUIRED. Hold-down washers at post base connections. 15 pads × 4 = 60 nr. Verify washer specification (size, grade) from structural drawings.</t>
  </si>
  <si>
    <t>Accessories | Fix Plate Connector, G350</t>
  </si>
  <si>
    <t>MANUAL REVIEW REQUIRED. Fix plates at strap bracing termination points: 49.7lm × 0.35 = 18 nr. Verify against FrameCAD connection schedule.</t>
  </si>
  <si>
    <t>Accessories | Strap Brace Tensioner</t>
  </si>
  <si>
    <t>MANUAL REVIEW REQUIRED. Strap termination anchors: 49.7lm ÷ 3m avg run = 17 runs × 2 ends. Verify strap count and anchor type from FrameCAD connection schedule.</t>
  </si>
  <si>
    <t>Accessories | Grommet 35mm Dia</t>
  </si>
  <si>
    <t>MANUAL REVIEW REQUIRED. Cable/conduit grommets at LGS stud penetrations. 29.4m internal wall × 1.5 per m = 45 nr. Quantity depends on electrical/hydraulic layout. Verify from services drawings.</t>
  </si>
  <si>
    <t>Fixing | Structural Fixings Remainder (PLACEHOLDER)</t>
  </si>
  <si>
    <t>no fixing schedule in source d</t>
  </si>
  <si>
    <t>MANUAL REVIEW REQUIRED. PLACEHOLDER for connection schedule items not derivable from member lm alone. Typical items: M10/M12/M16 hex bolts (hold-down posts), angle brackets (knee bracing, ridge connections), spring washers, nyloc nuts. Obtain FrameCAD connection report for full schedule. Reference BOQ includes 256+ individual fixing line items — this row represents residual scope.</t>
  </si>
  <si>
    <t>50112 - Roof &amp; Roof Plumbing</t>
  </si>
  <si>
    <t>Insulation | Sisalation / Sarking</t>
  </si>
  <si>
    <t>Fixing | Roof Tek Screw, Hex Head, DP</t>
  </si>
  <si>
    <t>1 box per 10 m² (approx 250 screws/box at 25 screws/m²)</t>
  </si>
  <si>
    <t>Roof Cladding | Custom Orb Corrugated CGI Sheet</t>
  </si>
  <si>
    <t>MANUAL REVIEW REQUIRED. run=2.51m (area/eaves) + 150mm lap → select 3.0m stock Verify sheet length and profile from spec.</t>
  </si>
  <si>
    <t>Ridge Cap | Galvanised, lm</t>
  </si>
  <si>
    <t>Fixing | Ridge Cap Hex Head Screw</t>
  </si>
  <si>
    <t>1 screw per 300 mm</t>
  </si>
  <si>
    <t>Ridge End Cap | Galvanised</t>
  </si>
  <si>
    <t>2 end caps per ridge run (one each end)</t>
  </si>
  <si>
    <t>Fascia Board | Galvanised, lm</t>
  </si>
  <si>
    <t>Fascia | Clips</t>
  </si>
  <si>
    <t>1 clip per 600 mm</t>
  </si>
  <si>
    <t>Accessories | Birdproof Foam Strip</t>
  </si>
  <si>
    <t>runs full eaves length</t>
  </si>
  <si>
    <t>SL-14 | PVC Box Gutter</t>
  </si>
  <si>
    <t>SL-14 | PVC Gutter Joiner</t>
  </si>
  <si>
    <t>PVC box gutter 6 m stock: joiners = total_lengths − estimated_run_count (≈eaves/10 m per run)</t>
  </si>
  <si>
    <t>SL-14 | PVC Gutter Stop End</t>
  </si>
  <si>
    <t>2 per run; add 2 per extra run &gt; 20 m</t>
  </si>
  <si>
    <t>Barge Cap | Galvanised, lm</t>
  </si>
  <si>
    <t>MANUAL REVIEW REQUIRED.</t>
  </si>
  <si>
    <t>Barge End Cap | Galvanised</t>
  </si>
  <si>
    <t>MANUAL REVIEW REQUIRED. 2 end caps per barge run (ridge peak and eaves)</t>
  </si>
  <si>
    <t>SL-14 | PVC Downpipe, 68mm</t>
  </si>
  <si>
    <t>SL-14 | PVC Gutter Drop Outlet</t>
  </si>
  <si>
    <t>SL-14 | PVC Downpipe Elbow, 90°</t>
  </si>
  <si>
    <t>top + bottom elbow per downpipe</t>
  </si>
  <si>
    <t>SL-14 | PVC Downpipe Clip</t>
  </si>
  <si>
    <t>approx 3 clips per 3 m drop</t>
  </si>
  <si>
    <t>50113 - External Cladding</t>
  </si>
  <si>
    <t>External Cladding | FC Weatherboard</t>
  </si>
  <si>
    <t>Gross 92.16 m² − openings 5.02 m² = 87.14 m²</t>
  </si>
  <si>
    <t>MANUAL REVIEW REQUIRED. Weatherboard: 200mm exposure, 4200mm stock length. Count includes 5% waste.  Verify board profile and lap from spec.</t>
  </si>
  <si>
    <t>H-joiners per façade face (joiners at butt-joins only, not corners). Verify count from cladding layout.</t>
  </si>
  <si>
    <t>External Cladding | Corner Flashing, Galvanised</t>
  </si>
  <si>
    <t>Corner count from building geometry (L=12.0m × W=7.2m rectangular = 4 corners). Verify against floor plan.</t>
  </si>
  <si>
    <t>External Cladding | Corner Trim / Angle Bead</t>
  </si>
  <si>
    <t>One trim per corner, full wall height. Verify profile and spec.</t>
  </si>
  <si>
    <t>Stud clips at 600mm centres. Verify clip type from manufacturer spec.</t>
  </si>
  <si>
    <t>Fixing | Stainless Steel Screw (Cladding)</t>
  </si>
  <si>
    <t>derived from clip count</t>
  </si>
  <si>
    <t>2 × stainless screws per fixing clip. Verify size and type from spec.</t>
  </si>
  <si>
    <t>Accessories | Building Wrap / Sarking</t>
  </si>
  <si>
    <t>Includes 5% for laps. Gross area — no deduction for openings in sarking schedule.</t>
  </si>
  <si>
    <t>External Works | Verandah Decking</t>
  </si>
  <si>
    <t>Substructure | Site Preparation (Provisional)</t>
  </si>
  <si>
    <t>MANUAL REVIEW REQUIRED. Site preparation scope cannot be derived from drawings. Confirm with engineer.</t>
  </si>
  <si>
    <t>50114 - Openings</t>
  </si>
  <si>
    <t>Door | 920mm Wide (DOOR_90)</t>
  </si>
  <si>
    <t>dxf_blocks</t>
  </si>
  <si>
    <t>swing=hinged</t>
  </si>
  <si>
    <t>Door | 820mm Wide (DOOR_82)</t>
  </si>
  <si>
    <t>Door | 720mm Wide (DOOR_72)</t>
  </si>
  <si>
    <t>Flashing | Door Head, Galvanised</t>
  </si>
  <si>
    <t>Head flashing extends 50 mm beyond door frame each side.</t>
  </si>
  <si>
    <t>Flashing | Door Sill, Galvanised</t>
  </si>
  <si>
    <t>Sill flashing for all doors. Remove from internal doors not requiring sill.</t>
  </si>
  <si>
    <t>Door | Leaf</t>
  </si>
  <si>
    <t>opening_mark=DOOR_90</t>
  </si>
  <si>
    <t>Door | Frame Set</t>
  </si>
  <si>
    <t>Door | Hinge (pair)</t>
  </si>
  <si>
    <t>opening_mark=DOOR_90  3 pairs per door (standard)</t>
  </si>
  <si>
    <t>Door | Lockset</t>
  </si>
  <si>
    <t>Door | Stop</t>
  </si>
  <si>
    <t>opening_mark=DOOR_82</t>
  </si>
  <si>
    <t>opening_mark=DOOR_82  3 pairs per door (standard)</t>
  </si>
  <si>
    <t>opening_mark=DOOR_72</t>
  </si>
  <si>
    <t>opening_mark=DOOR_72  3 pairs per door (standard)</t>
  </si>
  <si>
    <t>Window | Louvre, 1100mm Wide</t>
  </si>
  <si>
    <t>type=louvre</t>
  </si>
  <si>
    <t>Window | Louvre, 800mm Wide</t>
  </si>
  <si>
    <t>Window | Louvre, 1800mm Wide</t>
  </si>
  <si>
    <t>Flashing | Window Head, Galvanised</t>
  </si>
  <si>
    <t>Head flashing extends 50 mm beyond frame each side.</t>
  </si>
  <si>
    <t>Flashing | Window Sill, Galvanised</t>
  </si>
  <si>
    <t>Sill flashing same lm as head flashing. Remove if window sits on masonry sill.</t>
  </si>
  <si>
    <t>Window | Louvre Blade, 1100mm Wide</t>
  </si>
  <si>
    <t>MANUAL REVIEW REQUIRED. Frame height 750 mm (config_default=750mm). 8 blades per frame at 100 mm pitch. Verify blade count and size from window schedule.</t>
  </si>
  <si>
    <t>Window | Louvre Blade, 800mm Wide</t>
  </si>
  <si>
    <t>Window | Louvre Blade, 1800mm Wide</t>
  </si>
  <si>
    <t>Window | Louvre Frame</t>
  </si>
  <si>
    <t>opening_mark=WINDOW_LOUVRE_1100</t>
  </si>
  <si>
    <t>Window | Louvre Blade</t>
  </si>
  <si>
    <t>Window | Fly Screen</t>
  </si>
  <si>
    <t>opening_mark=WINDOW_LOUVRE_800</t>
  </si>
  <si>
    <t>opening_mark=WINDOW_LOUVRE_1800</t>
  </si>
  <si>
    <t>Window | Fly Screen, 1100mm Wide</t>
  </si>
  <si>
    <t>MANUAL REVIEW REQUIRED. Fly screen for louvre window WINDOW_LOUVRE_1100 (8 nr). Area: 1.08m × 0.750m = 0.810 m² each. Tropical building — all louvre openings require insect screening. Verify frame height from window schedule.</t>
  </si>
  <si>
    <t>Window | Fly Screen, 800mm Wide</t>
  </si>
  <si>
    <t>MANUAL REVIEW REQUIRED. Fly screen for louvre window WINDOW_LOUVRE_800 (2 nr). Area: 0.80m × 0.750m = 0.599 m² each. Tropical building — all louvre openings require insect screening. Verify frame height from window schedule.</t>
  </si>
  <si>
    <t>Window | Fly Screen, 1800mm Wide</t>
  </si>
  <si>
    <t>MANUAL REVIEW REQUIRED. Fly screen for louvre window WINDOW_LOUVRE_1800 (1 nr). Area: 1.85m × 0.750m = 1.385 m² each. Tropical building — all louvre openings require insect screening. Verify frame height from window schedule.</t>
  </si>
  <si>
    <t>Door | Closer, Hydraulic</t>
  </si>
  <si>
    <t>MANUAL REVIEW REQUIRED. Door closer inferred for pharmacy entrance doors. Marks: DOOR_90 (1 nr). Verify which doors require closers from door schedule and architect. Commercial pharmacy may require controlled entry.</t>
  </si>
  <si>
    <t>Timber Architrave | 12 x 75 x 2400mm Timber</t>
  </si>
  <si>
    <t>derived from door_count=6</t>
  </si>
  <si>
    <t>derived from window_count=11</t>
  </si>
  <si>
    <t>50115 - Internal Linings &amp; Ceilings</t>
  </si>
  <si>
    <t>External Lining | FC Sheet, 1200 x 2400mm</t>
  </si>
  <si>
    <t>Opening deductions: doors=1.877 m² [DOOR_90×1(0.920×2.04)]; windows=9.064 m² [WINDOW_LOUVRE_1100×8(1.080×0.75), WINDOW_LOUVRE_800×2(0.799×0.75), WINDOW_LOUVRE_1800×1(1.847×0.75)] (louvre height=0.75 m from config default). Gross=92.16 m² − 10.941 m² = net=81.22 m².</t>
  </si>
  <si>
    <t>Fixing | FC Sheet Screw (External)</t>
  </si>
  <si>
    <t>derived from ext_wall_area_net</t>
  </si>
  <si>
    <t>Internal Lining | FC Sheet, 1200 x 2400mm</t>
  </si>
  <si>
    <t>Opening deductions (assumed-internal doors, both partition faces): 16.320 m² [DOOR_82×4×2f(0.820×2.04), DOOR_72×1×2f(0.720×2.04)]. Gross=141.12 m² − 16.320 m² = net=124.80 m². Doors classified as internal by width &lt; 0.85 m threshold. Measured from DXF WALLS layer: 8 internal wall runs.</t>
  </si>
  <si>
    <t>Fixing | FC Sheet Screw (Internal)</t>
  </si>
  <si>
    <t>derived from int_wall_area_bot</t>
  </si>
  <si>
    <t>Internal Lining Accessory | PVC H Joiner</t>
  </si>
  <si>
    <t>1 vertical joiner strip per 1.2 m sheet-width run × 2.4 m height.</t>
  </si>
  <si>
    <t>Internal Lining | Waterproof Board / FC, Wet Area</t>
  </si>
  <si>
    <t>rooms=['Toilet']</t>
  </si>
  <si>
    <t>MANUAL REVIEW REQUIRED. Wet area lining derived from room perimeter estimate. Verify room dimensions.</t>
  </si>
  <si>
    <t>Ceiling Lining | FC Sheet, 1200 x 2400mm</t>
  </si>
  <si>
    <t>Fixing | FC Sheet Screw (Ceiling)</t>
  </si>
  <si>
    <t>derived from ceiling_area=64.8</t>
  </si>
  <si>
    <t>Verandah Soffit Lining — FC Sheet (6mm, 1200×2400)</t>
  </si>
  <si>
    <t>Verandah soffit lining: 21.60 m² from DXF verandah polygon. Soffit area treated equal to verandah floor area. Verify from architectural drawings.</t>
  </si>
  <si>
    <t>Verandah Soffit Batten (LGS / timber)</t>
  </si>
  <si>
    <t>Verandah soffit batten: 21.60 m² at 400 mm spacing = 54.0 lm.</t>
  </si>
  <si>
    <t>Timber Cornice | 25 x 25 x 2400mm Timber</t>
  </si>
  <si>
    <t>Assumes cornice on external walls only. Add int_wall_lm if cornice on internal walls too.</t>
  </si>
  <si>
    <t>50117 - Services (Hydraulics — Partial)</t>
  </si>
  <si>
    <t>Hydraulics | Hand Basin</t>
  </si>
  <si>
    <t>room_schedule</t>
  </si>
  <si>
    <t>MANUAL REVIEW REQUIRED. Inferred from room type 'pharmacy'.</t>
  </si>
  <si>
    <t>Hydraulics | Tapware</t>
  </si>
  <si>
    <t>Services | Cold Room / Refrigeration (PLACEHOLDER)</t>
  </si>
  <si>
    <t>Services | Builder's Works, Electrical</t>
  </si>
  <si>
    <t>Services | Builder's Works, Services</t>
  </si>
  <si>
    <t>MANUAL REVIEW REQUIRED. Inferred from room type 'waiting'.</t>
  </si>
  <si>
    <t>MANUAL REVIEW REQUIRED. Inferred from room type 'consulting'.</t>
  </si>
  <si>
    <t>Hydraulics | Builder's Works (Plumbing)</t>
  </si>
  <si>
    <t>MANUAL REVIEW REQUIRED. Inferred from room type 'office'.</t>
  </si>
  <si>
    <t>Hydraulics | WC Pan (close-coupled)</t>
  </si>
  <si>
    <t>MANUAL REVIEW REQUIRED. Inferred from room type 'toilet'.</t>
  </si>
  <si>
    <t>Hydraulics | WC Cistern</t>
  </si>
  <si>
    <t>FFE | Mirror</t>
  </si>
  <si>
    <t>FFE | Toilet Roll Holder</t>
  </si>
  <si>
    <t>FFE | Towel Rail</t>
  </si>
  <si>
    <t>Hydraulics | Floor Waste</t>
  </si>
  <si>
    <t>Hydraulics | WC Pan</t>
  </si>
  <si>
    <t>room</t>
  </si>
  <si>
    <t>MANUAL REVIEW REQUIRED. Inferred: perimeter (8.5 m) × 1800 mm splash-zone height. No finish schedule in source documents. Verify tile type, height, and area from architectural drawings. Deduct openings.</t>
  </si>
  <si>
    <t>Hydraulics | Wet Area Waterproofing Membrane</t>
  </si>
  <si>
    <t>MANUAL REVIEW REQUIRED. Waterproofing: floor area + 150 mm upstand on walls for Toilet. Verify room dimensions and upstand height from architectural drawings.</t>
  </si>
  <si>
    <t>MANUAL REVIEW REQUIRED. Inferred from room type 'store'.</t>
  </si>
  <si>
    <t>Services | Air Conditioning / Mechanical (PLACEHOLDER)</t>
  </si>
  <si>
    <t>building_type=pharmacy</t>
  </si>
  <si>
    <t>MANUAL REVIEW REQUIRED. PLACEHOLDER. Commercial building in tropical climate likely requires split-system or cassette AC units. No mechanical schedule or equipment schedule in source documents. Obtain from mechanical engineer or building services consultant. Include: outdoor units, indoor units, refrigerant pipework, electrical supply, condensate drainage, ceiling penetrations.</t>
  </si>
  <si>
    <t>Electrical | Exhaust Fan</t>
  </si>
  <si>
    <t>MANUAL REVIEW REQUIRED. PLACEHOLDER. BCA F4.6 requires mechanical exhaust in rooms without openable windows. Confirm exhaust fan type, ducting, and external discharge location from architectural drawings.</t>
  </si>
  <si>
    <t>Electrical | Main Switchboard / Distribution Board</t>
  </si>
  <si>
    <t>floor_area=86.40 m² (building-</t>
  </si>
  <si>
    <t>MANUAL REVIEW REQUIRED. 1 per building; adjust for sub-boards</t>
  </si>
  <si>
    <t>Hydraulics | Main Water Meter / Stopcock</t>
  </si>
  <si>
    <t>MANUAL REVIEW REQUIRED. Whole-building service allowance.</t>
  </si>
  <si>
    <t>Hydraulics | Hot Water System</t>
  </si>
  <si>
    <t>MANUAL REVIEW REQUIRED. only if not allocated to individual rooms</t>
  </si>
  <si>
    <t>Electrical | Smoke Detector</t>
  </si>
  <si>
    <t>MANUAL REVIEW REQUIRED. 1 per 40 m² floor area (indicative)</t>
  </si>
  <si>
    <t>50118 - Insulation</t>
  </si>
  <si>
    <t>Insulation | Glasswool Batts, Roof / Ceiling</t>
  </si>
  <si>
    <t>Insulation | Glasswool Batts, External Wall</t>
  </si>
  <si>
    <t>Gross wall area; deduct large openings if required.</t>
  </si>
  <si>
    <t>50124 - Stairs &amp; Balustrades</t>
  </si>
  <si>
    <t>Stair | Stringer</t>
  </si>
  <si>
    <t>MANUAL REVIEW REQUIRED. Entry stair — riser count estimated from raised floor height (~525mm). Verify from architectural drawings.</t>
  </si>
  <si>
    <t>Stair | Tread</t>
  </si>
  <si>
    <t>Stair | Component</t>
  </si>
  <si>
    <t>1 newel post at top and bottom of each flight.</t>
  </si>
  <si>
    <t>Balustrade | Assembly</t>
  </si>
  <si>
    <t>MANUAL REVIEW REQUIRED. Verify length from architectural drawings.</t>
  </si>
  <si>
    <t>Balustrade | Post</t>
  </si>
  <si>
    <t>MANUAL REVIEW REQUIRED. 1 post per 1.2 m spacing. Verify from balustrade schedule.</t>
  </si>
  <si>
    <t>MANUAL REVIEW REQUIRED. Infill height assumed 1.0 m. Adjust for guard height requirement (≥1.0 m at &gt;1.0 m fall).</t>
  </si>
  <si>
    <t>Balustrade | Handrail</t>
  </si>
  <si>
    <t>MANUAL REVIEW REQUIRED. Verify handrail length. Continuous rail both sides of flight where required by code.</t>
  </si>
  <si>
    <t>Access Ramp | Surface, Concrete / Non-slip</t>
  </si>
  <si>
    <t>derived from project_config</t>
  </si>
  <si>
    <t>MANUAL REVIEW REQUIRED. Access ramp: 1:14 gradient, stair: 3 risers × 175 mm = 525 mm → 7.35 m run × 1.2 m wide = 8.82 m². Verify need and exact dimensions from architectural drawings and BCA D3.3.</t>
  </si>
  <si>
    <t>Access Ramp | (type by design)</t>
  </si>
  <si>
    <t>derived from ramp run</t>
  </si>
  <si>
    <t>MANUAL REVIEW REQUIRED. Continuous handrails both sides of ramp. Verify height and spec from architectural drawings.</t>
  </si>
  <si>
    <t>Access Ramp | Edge Kerb / Guard</t>
  </si>
  <si>
    <t>MANUAL REVIEW REQUIRED. Kerb guard (min 75 mm high) both sides. Verify from architectural drawings.</t>
  </si>
  <si>
    <t>Reduce if one side abuts building wall.</t>
  </si>
  <si>
    <t>derived from verandah_perimete</t>
  </si>
  <si>
    <t>Item No</t>
  </si>
  <si>
    <t>Package Code</t>
  </si>
  <si>
    <t>Section (Final BOQ)</t>
  </si>
  <si>
    <t>Item Name (Original)</t>
  </si>
  <si>
    <t>Item Display Name</t>
  </si>
  <si>
    <t>Unit</t>
  </si>
  <si>
    <t>Qty</t>
  </si>
  <si>
    <t>Status</t>
  </si>
  <si>
    <t>Quantity Basis</t>
  </si>
  <si>
    <t>Source Evidence</t>
  </si>
  <si>
    <t>Derivation Rule</t>
  </si>
  <si>
    <t>Confidence</t>
  </si>
  <si>
    <t>F01</t>
  </si>
  <si>
    <t>50106</t>
  </si>
  <si>
    <t>Skirting Board</t>
  </si>
  <si>
    <t>lm</t>
  </si>
  <si>
    <t>ext_wall_lm(38.4) + int_wall_lm×2(29.4×2) − door_gaps(0.92+8.00)</t>
  </si>
  <si>
    <t>ext_walls: 38.40 m [dxf_geometry]; int_walls: 29.40 m [dxf_geometry]</t>
  </si>
  <si>
    <t>ext_wall_perimeter + int_wall_lm × 2 − door_widths</t>
  </si>
  <si>
    <t>F04</t>
  </si>
  <si>
    <t>Floor Finish — Dry Area (vinyl plank / screed)</t>
  </si>
  <si>
    <t>m2</t>
  </si>
  <si>
    <t>sum(dry room areas from room_schedule)</t>
  </si>
  <si>
    <t>config room_schedule: Dispensary, Waiting / Reception, Consultation Room, Staff Room, Storage = 60.30 m² (enclosed=64.80 m²)</t>
  </si>
  <si>
    <t>sum(room_area for non-wet rooms)</t>
  </si>
  <si>
    <t>F05</t>
  </si>
  <si>
    <t>Floor Finish — Wet Area (ceramic tile)</t>
  </si>
  <si>
    <t>sum(wet room areas from room_schedule)</t>
  </si>
  <si>
    <t>config room_schedule: Toilet = 4.50 m²</t>
  </si>
  <si>
    <t>sum(room_area for wet rooms)</t>
  </si>
  <si>
    <t>F06</t>
  </si>
  <si>
    <t>Paint — External</t>
  </si>
  <si>
    <t>ext_wall_perimeter × wall_height</t>
  </si>
  <si>
    <t>dxf_geometry: ext_wall_lm=38.40 × h=2.4</t>
  </si>
  <si>
    <t>38.40 × 2.4</t>
  </si>
  <si>
    <t>F07</t>
  </si>
  <si>
    <t>Paint — Internal</t>
  </si>
  <si>
    <t>ceiling_area(64.80) + int_wall_both_faces(141.12)</t>
  </si>
  <si>
    <t>ceiling_area=64.80 m²; int_wall_lm=29.40 m × 2 faces [dxf_geometry]</t>
  </si>
  <si>
    <t>ceiling_area + sum(int_wall.area_m2)  [area_m2 = lm × h × 2 faces]</t>
  </si>
  <si>
    <t>A01</t>
  </si>
  <si>
    <t>50107</t>
  </si>
  <si>
    <t>Roof Panel Frame (purlin / roof panel 89S41)</t>
  </si>
  <si>
    <t>direct from framecad_bom</t>
  </si>
  <si>
    <t>framecad_bom: Tab Roof Panels</t>
  </si>
  <si>
    <t>direct from source</t>
  </si>
  <si>
    <t>A02</t>
  </si>
  <si>
    <t>Roof Truss Frame (truss chord + web 89S41)</t>
  </si>
  <si>
    <t>framecad_bom: Tab Roof Trusses</t>
  </si>
  <si>
    <t>A03</t>
  </si>
  <si>
    <t>Wall Frame — all wall members 89S41</t>
  </si>
  <si>
    <t>framecad_bom: Tab Wall Panels</t>
  </si>
  <si>
    <t>A04</t>
  </si>
  <si>
    <t>Wall Frame — lintel 150×32×0.95</t>
  </si>
  <si>
    <t>framecad_bom: Lintel entries</t>
  </si>
  <si>
    <t>A05</t>
  </si>
  <si>
    <t>Wall Frame — diagonal strap 32×0.95</t>
  </si>
  <si>
    <t>framecad_bom: Strap entries</t>
  </si>
  <si>
    <t>A06</t>
  </si>
  <si>
    <t>Verandah Frame — 89S41</t>
  </si>
  <si>
    <t>direct from ifc_model</t>
  </si>
  <si>
    <t>ifc_model: V1/verandah members</t>
  </si>
  <si>
    <t>A07</t>
  </si>
  <si>
    <t>Structural Steel Post (75×75×4 SHS)</t>
  </si>
  <si>
    <t>ifc_model: SHS steel</t>
  </si>
  <si>
    <t>A08</t>
  </si>
  <si>
    <t>Roof Battens (FRAMECAD BATTEN — all zones)</t>
  </si>
  <si>
    <t>framecad_bom: BATTEN schedule total</t>
  </si>
  <si>
    <t>framecad_bom: FrameCAD BATTEN entries</t>
  </si>
  <si>
    <t>direct from BOM</t>
  </si>
  <si>
    <t>A09</t>
  </si>
  <si>
    <t>Ceiling/Wall Batten G22 × 4800mm</t>
  </si>
  <si>
    <t>nr</t>
  </si>
  <si>
    <t>framecad_bom: 176 × 4800mm = 844.8 lm</t>
  </si>
  <si>
    <t>framecad_bom: BATTEN 22 176 4800</t>
  </si>
  <si>
    <t>176 nr × 4800mm</t>
  </si>
  <si>
    <t>A10</t>
  </si>
  <si>
    <t>Ceiling/Wall Batten G22 × 6100mm</t>
  </si>
  <si>
    <t>framecad_bom: 5 × 6100mm = 30.5 lm</t>
  </si>
  <si>
    <t>framecad_bom: BATTEN 22 5 6100</t>
  </si>
  <si>
    <t>5 nr × 6100mm</t>
  </si>
  <si>
    <t>A11</t>
  </si>
  <si>
    <t>Roof Top-Hat Batten G40 × 6000mm</t>
  </si>
  <si>
    <t>framecad_bom: 85 × 6000mm = 510.0 lm</t>
  </si>
  <si>
    <t>framecad_bom: BATTEN 40 85 6000</t>
  </si>
  <si>
    <t>85 nr × 6000mm</t>
  </si>
  <si>
    <t>G01</t>
  </si>
  <si>
    <t>Floor Panel — Standard Load Floor Panel — General Areas (1.8kPa)</t>
  </si>
  <si>
    <t>project_config: main_floor_area(64.8m²) × 0.7 fraction ÷ panel_area(2.16m²)</t>
  </si>
  <si>
    <t>project_config: main_floor_area=64.80m² × fraction(0.7) = 45.36m²; joist_spacing=450mm; bearer_spacing=1800mm; span=dxf_geometry: DXF: floor=86.4m² perim=38.4m → L=12.0m W=7.2m; verandah=21.6m² depth=3.0m (engineering inference: full-width attachment); main=64.8m² (9.0m×7.2m); span=7.2m run=9.0m</t>
  </si>
  <si>
    <t>ceil(45.36 / 2.16)</t>
  </si>
  <si>
    <t>G02</t>
  </si>
  <si>
    <t>Floor Joist LGS — 1.8kPa Zone</t>
  </si>
  <si>
    <t>project_config: joist_rows(16) × run(9.0m) × fraction(0.7)</t>
  </si>
  <si>
    <t>ceil(span/0.45) × run × fraction</t>
  </si>
  <si>
    <t>G03</t>
  </si>
  <si>
    <t>Floor Bearer (pair) — 1.8kPa Zone</t>
  </si>
  <si>
    <t>project_config: ceil(span_short(7.2m) / bearer_spacing(1.8m) × fraction(0.7))</t>
  </si>
  <si>
    <t>ceil(7.2/1.8 × 0.7)</t>
  </si>
  <si>
    <t>G04</t>
  </si>
  <si>
    <t>Floor Panel — High-Load Floor Panel — Dispensary (4kPa)</t>
  </si>
  <si>
    <t>project_config: main_floor_area(64.8m²) × 0.3 fraction ÷ panel_area(2.16m²)</t>
  </si>
  <si>
    <t>project_config: main_floor_area=64.80m² × fraction(0.3) = 19.44m²; joist_spacing=450mm; bearer_spacing=1800mm; span=dxf_geometry: DXF: floor=86.4m² perim=38.4m → L=12.0m W=7.2m; verandah=21.6m² depth=3.0m (engineering inference: full-width attachment); main=64.8m² (9.0m×7.2m); span=7.2m run=9.0m</t>
  </si>
  <si>
    <t>ceil(19.44 / 2.16)</t>
  </si>
  <si>
    <t>G05</t>
  </si>
  <si>
    <t>Floor Joist LGS — 4kPa Zone</t>
  </si>
  <si>
    <t>project_config: joist_rows(16) × run(9.0m) × fraction(0.3)</t>
  </si>
  <si>
    <t>G06</t>
  </si>
  <si>
    <t>Floor Bearer (pair) — 4kPa Zone</t>
  </si>
  <si>
    <t>project_config: ceil(span_short(7.2m) / bearer_spacing(1.8m) × fraction(0.3))</t>
  </si>
  <si>
    <t>ceil(7.2/1.8 × 0.3)</t>
  </si>
  <si>
    <t>G07</t>
  </si>
  <si>
    <t>Floor Sheet (FC / plywood)</t>
  </si>
  <si>
    <t>sheets</t>
  </si>
  <si>
    <t>ceil(floor_area × 1.05 / 2.88)</t>
  </si>
  <si>
    <t>project_config+dxf_geometry: floor_area=64.80 m²</t>
  </si>
  <si>
    <t>ceil(64.80 × 1.05 / 2.88)</t>
  </si>
  <si>
    <t>G08</t>
  </si>
  <si>
    <t>Floor Sheet Fixing Screws</t>
  </si>
  <si>
    <t>boxes</t>
  </si>
  <si>
    <t>ceil(sheet_count × 16 fixings / 200 per box)</t>
  </si>
  <si>
    <t>project_config+dxf_geometry: sheet_count=24</t>
  </si>
  <si>
    <t>ceil(sheets × 16 / 200)</t>
  </si>
  <si>
    <t>H01</t>
  </si>
  <si>
    <t>Strip Footing — External Perimeter</t>
  </si>
  <si>
    <t>derived_steel_floor: perimeter=38.4 m</t>
  </si>
  <si>
    <t>H02</t>
  </si>
  <si>
    <t>Strip Footing — Concrete Volume</t>
  </si>
  <si>
    <t>m3</t>
  </si>
  <si>
    <t>perimeter × 0.5 m depth × 0.4 m width</t>
  </si>
  <si>
    <t>derived_steel_floor: 38.4 × 0.5 × 0.4</t>
  </si>
  <si>
    <t>38.4 × 0.5 × 0.4</t>
  </si>
  <si>
    <t>H03</t>
  </si>
  <si>
    <t>Strip Footing — Formwork</t>
  </si>
  <si>
    <t>H04</t>
  </si>
  <si>
    <t>Bulk Earthworks / Level (provisional)</t>
  </si>
  <si>
    <t>site survey required</t>
  </si>
  <si>
    <t>manual review required</t>
  </si>
  <si>
    <t>H05</t>
  </si>
  <si>
    <t>Strip Footing — Internal Bearing Lines</t>
  </si>
  <si>
    <t>dxf_geometry: int_wall_lm=29.4 m</t>
  </si>
  <si>
    <t>H06</t>
  </si>
  <si>
    <t>Strip Footing Internal — Concrete Volume</t>
  </si>
  <si>
    <t>int_lm × 0.5 m depth × 0.4 m width</t>
  </si>
  <si>
    <t>derived: 29.4 × 0.5 × 0.4</t>
  </si>
  <si>
    <t>29.4 × 0.5 × 0.4</t>
  </si>
  <si>
    <t>H07</t>
  </si>
  <si>
    <t>Pad Footing (concrete)</t>
  </si>
  <si>
    <t>dxf_geometry: pad_count</t>
  </si>
  <si>
    <t>dxf_geometry: count=15</t>
  </si>
  <si>
    <t>direct count</t>
  </si>
  <si>
    <t>H08</t>
  </si>
  <si>
    <t>Pad Footing Concrete (m3)</t>
  </si>
  <si>
    <t>count × 0.7×0.7×0.7 m = 0.343 m³ each</t>
  </si>
  <si>
    <t>derived: 15 pads × 0.343 m³</t>
  </si>
  <si>
    <t>15 × 0.343</t>
  </si>
  <si>
    <t>A12</t>
  </si>
  <si>
    <t>50111</t>
  </si>
  <si>
    <t>Framing Screw 12G-14×20 HEX Head (LGS stud-to-track)</t>
  </si>
  <si>
    <t>wall_frame_lm(2300.4) × 4.0 screws/m ÷ 500/box</t>
  </si>
  <si>
    <t>framecad_bom: wall=2300.4lm, roof_panel=481.7lm, batten=1385.3lm; dxf: pad_count=15, strip_perim=0.0m</t>
  </si>
  <si>
    <t>ceil(2300.4 × 4.0 / 500)</t>
  </si>
  <si>
    <t>A13</t>
  </si>
  <si>
    <t>Framing Screw 10G-24×40 Countersunk (roof panel)</t>
  </si>
  <si>
    <t>roof_panel_lm(481.7) × 3.0 screws/m ÷ 500/box</t>
  </si>
  <si>
    <t>ceil(481.7 × 3.0 / 500)</t>
  </si>
  <si>
    <t>A14</t>
  </si>
  <si>
    <t>Framing Screw 10G-14×16 Wafer Head (batten-to-purlin)</t>
  </si>
  <si>
    <t>batten_lm(1385.3) × 2.5 screws/m ÷ 500/box</t>
  </si>
  <si>
    <t>ceil(1385.3 × 2.5 / 500)</t>
  </si>
  <si>
    <t>A15</t>
  </si>
  <si>
    <t>Sleeve Anchor M12×75 — Pad Footings</t>
  </si>
  <si>
    <t>pad_count(15) × 4 anchors per pad</t>
  </si>
  <si>
    <t>dxf_geometry: pad_count=15 (DXF STRUCTURE layer)</t>
  </si>
  <si>
    <t>15 × 4</t>
  </si>
  <si>
    <t>A16</t>
  </si>
  <si>
    <t>PH Post Holder Bracket (PHA/PHB/PHD)</t>
  </si>
  <si>
    <t>steel_shs_lm(96.7) ÷ avg_height(3.5m)</t>
  </si>
  <si>
    <t>ifc_model: steel_shs_lm=96.69 / avg_height(3.5m)</t>
  </si>
  <si>
    <t>ceil(96.7/3.5)</t>
  </si>
  <si>
    <t>A17</t>
  </si>
  <si>
    <t>Triple Grip Connector (roof-to-wall uplift)</t>
  </si>
  <si>
    <t>eaves_lm(42.4) ÷ spacing(1.2m)</t>
  </si>
  <si>
    <t>dxf_geometry: eaves_length=42.4m</t>
  </si>
  <si>
    <t>ceil(42.4 / 1.2)</t>
  </si>
  <si>
    <t>A18</t>
  </si>
  <si>
    <t>Hold-Down Washer — Cyclonic (post base)</t>
  </si>
  <si>
    <t>pad_count(15) × 4 washers per pad</t>
  </si>
  <si>
    <t>dxf_geometry: pad_count=15</t>
  </si>
  <si>
    <t>A19</t>
  </si>
  <si>
    <t>Fix Plate / Gusset Plate (strap bracing connection)</t>
  </si>
  <si>
    <t>wall_strap_lm(49.7) × 0.35 plates/m</t>
  </si>
  <si>
    <t>framecad_bom: wall_strap_lm=49.73lm</t>
  </si>
  <si>
    <t>ceil(49.7 × 0.35)</t>
  </si>
  <si>
    <t>A20</t>
  </si>
  <si>
    <t>Diagonal Strap Tensioner / Anchor (bracing strap end)</t>
  </si>
  <si>
    <t>strap_runs(17) × 2 ends</t>
  </si>
  <si>
    <t>ceil(49.7/3.0) × 2</t>
  </si>
  <si>
    <t>A21</t>
  </si>
  <si>
    <t>Cable Grommet (LGS service penetration)</t>
  </si>
  <si>
    <t>int_wall_lm(29.4) × 1.5 grommets/m</t>
  </si>
  <si>
    <t>dxf_geometry: int_wall_lm=29.4m</t>
  </si>
  <si>
    <t>ceil(29.4 × 1.5)</t>
  </si>
  <si>
    <t>A22</t>
  </si>
  <si>
    <t>Structural Fixings Remainder — Hex Bolts / Angles / Misc (PLACEHOLDER)</t>
  </si>
  <si>
    <t>item</t>
  </si>
  <si>
    <t>no FrameCAD connection schedule — grouped items not derivable</t>
  </si>
  <si>
    <t>no fixing schedule in source documents</t>
  </si>
  <si>
    <t>B01</t>
  </si>
  <si>
    <t>50112</t>
  </si>
  <si>
    <t>Sisalation / Sarking</t>
  </si>
  <si>
    <t>rolls</t>
  </si>
  <si>
    <t>ceil(roof_area / 73.0 m²/roll)</t>
  </si>
  <si>
    <t>dxf_geometry: roof_area=106.60 m²</t>
  </si>
  <si>
    <t>ceil(106.60 / 73.0)</t>
  </si>
  <si>
    <t>B02</t>
  </si>
  <si>
    <t>Roof Tek Screws</t>
  </si>
  <si>
    <t>assembly_rule:roof_cladding</t>
  </si>
  <si>
    <t>roof_cladding → ceil(x / 10)  [note: 1 box per 10 m² (approx 250 screws/box at 25 screws/m²)]</t>
  </si>
  <si>
    <t>B03</t>
  </si>
  <si>
    <t>Roof Cladding Sheet (corrugated / CGI)</t>
  </si>
  <si>
    <t>area×waste / (cover_w×sheet_len) = 106.6×1.05/(0.762×3.0m)</t>
  </si>
  <si>
    <t>dxf_geometry: roof_area=106.60 m², eaves_lm=42.40 m</t>
  </si>
  <si>
    <t>ceil(area × 1.05 / (0.762 × 3.0m))</t>
  </si>
  <si>
    <t>B04</t>
  </si>
  <si>
    <t>Ridge Capping</t>
  </si>
  <si>
    <t>assembly_rule:roof_ridge</t>
  </si>
  <si>
    <t>dxf_geometry: ridge_length=10.60 lm</t>
  </si>
  <si>
    <t>roof_ridge → x</t>
  </si>
  <si>
    <t>B05</t>
  </si>
  <si>
    <t>Ridge Cap Fixing Screws</t>
  </si>
  <si>
    <t>roof_ridge → ceil(x / 0.3)  [note: 1 screw per 300 mm]</t>
  </si>
  <si>
    <t>B06</t>
  </si>
  <si>
    <t>Ridge End Cap</t>
  </si>
  <si>
    <t>roof_ridge → 2  [note: 2 end caps per ridge run (one each end)]</t>
  </si>
  <si>
    <t>B07</t>
  </si>
  <si>
    <t>Fascia Board</t>
  </si>
  <si>
    <t>assembly_rule:roof_eaves</t>
  </si>
  <si>
    <t>dxf_geometry: eaves_length=42.40 lm</t>
  </si>
  <si>
    <t>roof_eaves → x</t>
  </si>
  <si>
    <t>B08</t>
  </si>
  <si>
    <t>Fascia Clips</t>
  </si>
  <si>
    <t>roof_eaves → ceil(x / 0.6)  [note: 1 clip per 600 mm]</t>
  </si>
  <si>
    <t>B09</t>
  </si>
  <si>
    <t>Birdproof Foam Strip</t>
  </si>
  <si>
    <t>roof_eaves → x  [note: runs full eaves length]</t>
  </si>
  <si>
    <t>B10</t>
  </si>
  <si>
    <t>Eaves Gutter</t>
  </si>
  <si>
    <t>B11</t>
  </si>
  <si>
    <t>Gutter Joiner</t>
  </si>
  <si>
    <t>roof_eaves → max(0, ceil(x / 6.0) - ceil(x / 10))  [note: PVC box gutter 6 m stock: joiners = total_lengths − estimated_run_count (≈eaves/10 m per run)]</t>
  </si>
  <si>
    <t>B12</t>
  </si>
  <si>
    <t>Gutter Stop End</t>
  </si>
  <si>
    <t>roof_eaves → max(2, ceil(x / 20) * 2)  [note: 2 per run; add 2 per extra run &gt; 20 m]</t>
  </si>
  <si>
    <t>B13</t>
  </si>
  <si>
    <t>Barge Capping</t>
  </si>
  <si>
    <t>assembly_rule:roof_barge</t>
  </si>
  <si>
    <t>dxf_geometry: barge_length=8.50 lm</t>
  </si>
  <si>
    <t>roof_barge → x</t>
  </si>
  <si>
    <t>B14</t>
  </si>
  <si>
    <t>Barge End Cap</t>
  </si>
  <si>
    <t>roof_barge → 2  [note: 2 end caps per barge run (ridge peak and eaves)]</t>
  </si>
  <si>
    <t>B15</t>
  </si>
  <si>
    <t>PVC Downpipe</t>
  </si>
  <si>
    <t>assembly_rule:roof_drainage</t>
  </si>
  <si>
    <t>dxf_geometry: downpipe_count=6</t>
  </si>
  <si>
    <t>roof_drainage → x</t>
  </si>
  <si>
    <t>B16</t>
  </si>
  <si>
    <t>Gutter Drop Outlet</t>
  </si>
  <si>
    <t>B17</t>
  </si>
  <si>
    <t>Downpipe Elbow (90°)</t>
  </si>
  <si>
    <t>roof_drainage → x * 2  [note: top + bottom elbow per downpipe]</t>
  </si>
  <si>
    <t>B18</t>
  </si>
  <si>
    <t>Downpipe Clip / Saddle</t>
  </si>
  <si>
    <t>roof_drainage → x * 3  [note: approx 3 clips per 3 m drop]</t>
  </si>
  <si>
    <t>K04</t>
  </si>
  <si>
    <t>50113</t>
  </si>
  <si>
    <t>External Wall Cladding — FC Weatherboard (supply &amp; fix)</t>
  </si>
  <si>
    <t>ext_wall_lm(38.40) × wall_h(2.4) − opening_area</t>
  </si>
  <si>
    <t>dxf_geometry: ext_wall_perimeter=38.40 m, h=2.4 m</t>
  </si>
  <si>
    <t>38.40 × 2.4 − 5.02</t>
  </si>
  <si>
    <t>K05</t>
  </si>
  <si>
    <t>FC Weatherboard — Board Count</t>
  </si>
  <si>
    <t>rows_of_boards=12 (h=2400mm / 200mm exp) × boards_per_row=10 (lm=38.4m / 4.2m) × waste=1.05</t>
  </si>
  <si>
    <t>dxf_geometry: ext_lm=38.40 m, wall_h=2.4 m</t>
  </si>
  <si>
    <t>ceil(h/exp) × ceil(lm/board_l) × waste</t>
  </si>
  <si>
    <t>K06</t>
  </si>
  <si>
    <t>FC Weatherboard H-Joiner Extrusion</t>
  </si>
  <si>
    <t>per-façade: 2×L-face (2×2=4 joiners/row) + 2×W-face (1×2=2 joiners/row) × 12 rows; derived from floor L=12.0m W=7.2m</t>
  </si>
  <si>
    <t>dxf_geometry: floor_area=86.4m² + ext_perim=38.4m → L=12.0m W=7.2m</t>
  </si>
  <si>
    <t>per-façade: joiners per face × rows_of_boards</t>
  </si>
  <si>
    <t>K07</t>
  </si>
  <si>
    <t>External Corner Flashing (FC cladding)</t>
  </si>
  <si>
    <t>rectangular footprint: L=12.0m × W=7.2m (2×(L+W)=38.4m ≈ measured perim 38.4m)</t>
  </si>
  <si>
    <t>dxf_geometry: ext_wall_perimeter=38.4m, floor_area=86.4m² → L=12.0m W=7.2m</t>
  </si>
  <si>
    <t>geometry-derived corner count</t>
  </si>
  <si>
    <t>K08</t>
  </si>
  <si>
    <t>External Corner Trim / Angle Bead</t>
  </si>
  <si>
    <t>ext_corners(4) × wall_h(2.4m)</t>
  </si>
  <si>
    <t>derived: 4 corners × 2.4 m</t>
  </si>
  <si>
    <t>corners × wall_height</t>
  </si>
  <si>
    <t>K09</t>
  </si>
  <si>
    <t>FC Weatherboard Stud Fixing Clip</t>
  </si>
  <si>
    <t>studs(64) × rows_of_boards(12) [stud_spacing=600mm]</t>
  </si>
  <si>
    <t>dxf_geometry: ext_lm=38.40 m, stud_spacing=600mm</t>
  </si>
  <si>
    <t>ceil(ext_lm × studs_per_m) × rows_of_boards</t>
  </si>
  <si>
    <t>K10</t>
  </si>
  <si>
    <t>Stainless Steel Screw — Cladding Fix</t>
  </si>
  <si>
    <t>stud_clips(768) × 2 screws per clip</t>
  </si>
  <si>
    <t>derived from clip count: 768</t>
  </si>
  <si>
    <t>clip_count × 2</t>
  </si>
  <si>
    <t>K11</t>
  </si>
  <si>
    <t>Building Wrap / Sarking — External Wall</t>
  </si>
  <si>
    <t>gross_wall_area(92.16) × 1.05 overlap</t>
  </si>
  <si>
    <t>dxf_geometry: ext_lm=38.40 m × wall_h=2.4 m</t>
  </si>
  <si>
    <t>ext_lm × wall_h × 1.05</t>
  </si>
  <si>
    <t>K12</t>
  </si>
  <si>
    <t>Verandah Decking / Slab</t>
  </si>
  <si>
    <t>DXF VERANDAH LWPOLYLINE area</t>
  </si>
  <si>
    <t>dxf_geometry: verandah_area=21.60 m²</t>
  </si>
  <si>
    <t>K13</t>
  </si>
  <si>
    <t>Site Preparation (Provisional)</t>
  </si>
  <si>
    <t>provisional allowance — no site survey</t>
  </si>
  <si>
    <t>D01</t>
  </si>
  <si>
    <t>50114</t>
  </si>
  <si>
    <t>Door — DOOR_90 (920mm)</t>
  </si>
  <si>
    <t>count from source</t>
  </si>
  <si>
    <t>dxf_blocks: mark=DOOR_90 count=1</t>
  </si>
  <si>
    <t>D02</t>
  </si>
  <si>
    <t>Door — DOOR_82 (820mm)</t>
  </si>
  <si>
    <t>dxf_blocks: mark=DOOR_82 count=4</t>
  </si>
  <si>
    <t>D03</t>
  </si>
  <si>
    <t>Door — DOOR_72 (720mm)</t>
  </si>
  <si>
    <t>dxf_blocks: mark=DOOR_72 count=1</t>
  </si>
  <si>
    <t>D04</t>
  </si>
  <si>
    <t>Door Head Flashing</t>
  </si>
  <si>
    <t>sum((door_width + 50mm overrun × 2) × count)</t>
  </si>
  <si>
    <t>dxf_blocks: door widths DOOR_90=0.92m×1, DOOR_82=0.82m×4, DOOR_72=0.72m×1</t>
  </si>
  <si>
    <t>sum((width + 0.100) × qty)</t>
  </si>
  <si>
    <t>D05</t>
  </si>
  <si>
    <t>Door Sill Flashing</t>
  </si>
  <si>
    <t>dxf_blocks: 6 doors</t>
  </si>
  <si>
    <t>D06</t>
  </si>
  <si>
    <t>Door Leaf</t>
  </si>
  <si>
    <t>assembly_rule:door_single_hinged</t>
  </si>
  <si>
    <t>dxf_blocks: DOOR_90 count=1</t>
  </si>
  <si>
    <t>door_single_hinged → x</t>
  </si>
  <si>
    <t>D07</t>
  </si>
  <si>
    <t>Door Frame Set</t>
  </si>
  <si>
    <t>D08</t>
  </si>
  <si>
    <t>Door Hinge (pair)</t>
  </si>
  <si>
    <t>door_single_hinged → x * 3  [note: 3 pairs per door (standard)]</t>
  </si>
  <si>
    <t>D09</t>
  </si>
  <si>
    <t>Door Lockset</t>
  </si>
  <si>
    <t>D10</t>
  </si>
  <si>
    <t>Door Stop</t>
  </si>
  <si>
    <t>D11</t>
  </si>
  <si>
    <t>dxf_blocks: DOOR_82 count=4</t>
  </si>
  <si>
    <t>D12</t>
  </si>
  <si>
    <t>D13</t>
  </si>
  <si>
    <t>D14</t>
  </si>
  <si>
    <t>D15</t>
  </si>
  <si>
    <t>D16</t>
  </si>
  <si>
    <t>dxf_blocks: DOOR_72 count=1</t>
  </si>
  <si>
    <t>D17</t>
  </si>
  <si>
    <t>D18</t>
  </si>
  <si>
    <t>D19</t>
  </si>
  <si>
    <t>D20</t>
  </si>
  <si>
    <t>D21</t>
  </si>
  <si>
    <t>Window — WINDOW_LOUVRE_1100</t>
  </si>
  <si>
    <t>dxf_blocks: mark=WINDOW_LOUVRE_1100 count=8</t>
  </si>
  <si>
    <t>D22</t>
  </si>
  <si>
    <t>Window — WINDOW_LOUVRE_800</t>
  </si>
  <si>
    <t>dxf_blocks: mark=WINDOW_LOUVRE_800 count=2</t>
  </si>
  <si>
    <t>D23</t>
  </si>
  <si>
    <t>Window — WINDOW_LOUVRE_1800</t>
  </si>
  <si>
    <t>dxf_blocks: mark=WINDOW_LOUVRE_1800 count=1</t>
  </si>
  <si>
    <t>D24</t>
  </si>
  <si>
    <t>Window Head Flashing — WINDOW_LOUVRE_1100</t>
  </si>
  <si>
    <t>(window_width + 50mm overrun × 2) × count = (1.08+0.100)×8</t>
  </si>
  <si>
    <t>dxf_blocks: block_name: WINDOW_LOUVRE_1100 count=8</t>
  </si>
  <si>
    <t>(1.08+0.100)×8</t>
  </si>
  <si>
    <t>D25</t>
  </si>
  <si>
    <t>Window Sill Flashing — WINDOW_LOUVRE_1100</t>
  </si>
  <si>
    <t>D26</t>
  </si>
  <si>
    <t>Louvre Blade — WINDOW_LOUVRE_1100</t>
  </si>
  <si>
    <t>ceil(frame_h(750mm) / 100mm pitch) × count = 8 blades × 8</t>
  </si>
  <si>
    <t>dxf_blocks: config_default=750mm count=8</t>
  </si>
  <si>
    <t>ceil(750/100) × 8</t>
  </si>
  <si>
    <t>D27</t>
  </si>
  <si>
    <t>Window Head Flashing — WINDOW_LOUVRE_800</t>
  </si>
  <si>
    <t>(window_width + 50mm overrun × 2) × count = (0.80+0.100)×2</t>
  </si>
  <si>
    <t>dxf_blocks: block_name: WINDOW_LOUVRE_800 count=2</t>
  </si>
  <si>
    <t>(0.80+0.100)×2</t>
  </si>
  <si>
    <t>D28</t>
  </si>
  <si>
    <t>Window Sill Flashing — WINDOW_LOUVRE_800</t>
  </si>
  <si>
    <t>D29</t>
  </si>
  <si>
    <t>Louvre Blade — WINDOW_LOUVRE_800</t>
  </si>
  <si>
    <t>ceil(frame_h(750mm) / 100mm pitch) × count = 8 blades × 2</t>
  </si>
  <si>
    <t>dxf_blocks: config_default=750mm count=2</t>
  </si>
  <si>
    <t>ceil(750/100) × 2</t>
  </si>
  <si>
    <t>D30</t>
  </si>
  <si>
    <t>Window Head Flashing — WINDOW_LOUVRE_1800</t>
  </si>
  <si>
    <t>(window_width + 50mm overrun × 2) × count = (1.85+0.100)×1</t>
  </si>
  <si>
    <t>dxf_blocks: block_name: WINDOW_LOUVRE_1800 count=1</t>
  </si>
  <si>
    <t>(1.85+0.100)×1</t>
  </si>
  <si>
    <t>D31</t>
  </si>
  <si>
    <t>Window Sill Flashing — WINDOW_LOUVRE_1800</t>
  </si>
  <si>
    <t>D32</t>
  </si>
  <si>
    <t>Louvre Blade — WINDOW_LOUVRE_1800</t>
  </si>
  <si>
    <t>ceil(frame_h(750mm) / 100mm pitch) × count = 8 blades × 1</t>
  </si>
  <si>
    <t>dxf_blocks: config_default=750mm count=1</t>
  </si>
  <si>
    <t>ceil(750/100) × 1</t>
  </si>
  <si>
    <t>D33</t>
  </si>
  <si>
    <t>Louvre Window Frame</t>
  </si>
  <si>
    <t>assembly_rule:window_louvre</t>
  </si>
  <si>
    <t>dxf_blocks: WINDOW_LOUVRE_1100 count=8</t>
  </si>
  <si>
    <t>window_louvre → x</t>
  </si>
  <si>
    <t>D34</t>
  </si>
  <si>
    <t>Louvre Blade Set</t>
  </si>
  <si>
    <t>D35</t>
  </si>
  <si>
    <t>Flyscreen</t>
  </si>
  <si>
    <t>D36</t>
  </si>
  <si>
    <t>dxf_blocks: WINDOW_LOUVRE_800 count=2</t>
  </si>
  <si>
    <t>D37</t>
  </si>
  <si>
    <t>D38</t>
  </si>
  <si>
    <t>D39</t>
  </si>
  <si>
    <t>dxf_blocks: WINDOW_LOUVRE_1800 count=1</t>
  </si>
  <si>
    <t>D40</t>
  </si>
  <si>
    <t>D41</t>
  </si>
  <si>
    <t>D42</t>
  </si>
  <si>
    <t>Fly Screen — WINDOW_LOUVRE_1100</t>
  </si>
  <si>
    <t>width(1.08m) × height(0.750m) × qty(8)</t>
  </si>
  <si>
    <t>dxf_blocks: mark=WINDOW_LOUVRE_1100 w=1.08m (block_name) h=0.750m (config_default=750mm) qty=8</t>
  </si>
  <si>
    <t>1.08 × 0.750 × 8</t>
  </si>
  <si>
    <t>D43</t>
  </si>
  <si>
    <t>Fly Screen — WINDOW_LOUVRE_800</t>
  </si>
  <si>
    <t>width(0.80m) × height(0.750m) × qty(2)</t>
  </si>
  <si>
    <t>dxf_blocks: mark=WINDOW_LOUVRE_800 w=0.80m (block_name) h=0.750m (config_default=750mm) qty=2</t>
  </si>
  <si>
    <t>0.80 × 0.750 × 2</t>
  </si>
  <si>
    <t>D44</t>
  </si>
  <si>
    <t>Fly Screen — WINDOW_LOUVRE_1800</t>
  </si>
  <si>
    <t>width(1.85m) × height(0.750m) × qty(1)</t>
  </si>
  <si>
    <t>dxf_blocks: mark=WINDOW_LOUVRE_1800 w=1.85m (block_name) h=0.750m (config_default=750mm) qty=1</t>
  </si>
  <si>
    <t>1.85 × 0.750 × 1</t>
  </si>
  <si>
    <t>D45</t>
  </si>
  <si>
    <t>Door Closer — Hydraulic (main entrance)</t>
  </si>
  <si>
    <t>entrance_door_count(1) — widest door mark(s) in pharmacy</t>
  </si>
  <si>
    <t>dxf_blocks: DOOR_90 (width≥850mm or DOOR_90)</t>
  </si>
  <si>
    <t>count of entrance-width doors</t>
  </si>
  <si>
    <t>F02</t>
  </si>
  <si>
    <t>Architrave — Door</t>
  </si>
  <si>
    <t>door_count × 6.0 lm/door = 6 × 6.0</t>
  </si>
  <si>
    <t>door_count × 6.0</t>
  </si>
  <si>
    <t>F03</t>
  </si>
  <si>
    <t>Architrave — Window</t>
  </si>
  <si>
    <t>window_count × 4.8 lm/window = 11 × 4.8</t>
  </si>
  <si>
    <t>window_count × 4.8</t>
  </si>
  <si>
    <t>E01</t>
  </si>
  <si>
    <t>50115</t>
  </si>
  <si>
    <t>External Wall Lining — FC Sheet (6mm, 1200×2700)</t>
  </si>
  <si>
    <t>ceil(ext_wall_area_net × 1.05 / 3.24)</t>
  </si>
  <si>
    <t>dxf_geometry: ext_wall_lm=38.40 m × h=2.4 m → gross=92.16 m² − openings=10.941 m² → net=81.22 m²</t>
  </si>
  <si>
    <t>ceil(81.22 × 1.05 / 3.24)</t>
  </si>
  <si>
    <t>E02</t>
  </si>
  <si>
    <t>External Wall Lining — FC Sheet Screws</t>
  </si>
  <si>
    <t>ceil(wall_area_net × 25 screws/m² / 200/box)</t>
  </si>
  <si>
    <t>derived from ext_wall_area_net=81.22 m²</t>
  </si>
  <si>
    <t>ceil(area × 25 / 200)</t>
  </si>
  <si>
    <t>E03</t>
  </si>
  <si>
    <t>Internal Wall Lining — FC Sheet (6mm, 1200×2700)</t>
  </si>
  <si>
    <t>ceil(int_wall_area_net × 1.05 / 3.24)</t>
  </si>
  <si>
    <t>dxf_geometry: int_wall_lm=29.40 m × h=2.4 m × 2 faces = 141.12 m² − int_doors=16.320 m² → net=124.80 m²</t>
  </si>
  <si>
    <t>ceil(124.80 × 1.05 / 3.24)</t>
  </si>
  <si>
    <t>E04</t>
  </si>
  <si>
    <t>Internal Wall Lining — FC Sheet Screws</t>
  </si>
  <si>
    <t>ceil(both_face_area_net × 25 screws/m² / 200/box)</t>
  </si>
  <si>
    <t>derived from int_wall_area_both_net=124.80 m²</t>
  </si>
  <si>
    <t>E05</t>
  </si>
  <si>
    <t>Internal Wall Lining — FC Sheet Joiner Strip</t>
  </si>
  <si>
    <t>ceil(face_lm / 1.2) × h = ceil(58.8/1.2) × 2.4</t>
  </si>
  <si>
    <t>dxf_geometry: int_wall_lm=29.40 m × 2 faces = 58.8 lm</t>
  </si>
  <si>
    <t>ceil(58.8/1.2) × 2.4</t>
  </si>
  <si>
    <t>E06</t>
  </si>
  <si>
    <t>Wet Area Wall Lining — Waterproof Board / FC</t>
  </si>
  <si>
    <t>ceil(wet_room_wall_area × 1.05 / 3.24)</t>
  </si>
  <si>
    <t>rooms=['Toilet']: total_wet_wall_area≈20.40 m²</t>
  </si>
  <si>
    <t>sum(4×sqrt(room_area)×h) → ceil(×1.05/3.24)</t>
  </si>
  <si>
    <t>E07</t>
  </si>
  <si>
    <t>Ceiling Lining — FC Sheet (6mm, 1200×2400)</t>
  </si>
  <si>
    <t>ceil(ceiling_area × 1.05 / 2.88)</t>
  </si>
  <si>
    <t>derived: ceiling_area=64.80 m²</t>
  </si>
  <si>
    <t>E08</t>
  </si>
  <si>
    <t>Ceiling Batten (LGS / timber)</t>
  </si>
  <si>
    <t>ceiling_area / (400 mm spacing)</t>
  </si>
  <si>
    <t>64.80 / 0.4</t>
  </si>
  <si>
    <t>E09</t>
  </si>
  <si>
    <t>Ceiling FC Sheet Screws</t>
  </si>
  <si>
    <t>ceil(ceil_area × 20 screws/m² / 200/box)</t>
  </si>
  <si>
    <t>derived from ceiling_area=64.80 m²</t>
  </si>
  <si>
    <t>ceil(area × 20 / 200)</t>
  </si>
  <si>
    <t>E10</t>
  </si>
  <si>
    <t>ceil(verandah_soffit_area × 1.05 / 2.88)</t>
  </si>
  <si>
    <t>dxf_geometry: verandah_area=21.60 m² (soffit = verandah deck area)</t>
  </si>
  <si>
    <t>ceil(21.60 × 1.05 / 2.88)</t>
  </si>
  <si>
    <t>E11</t>
  </si>
  <si>
    <t>verandah_soffit_area / (400 mm spacing)</t>
  </si>
  <si>
    <t>dxf_geometry: verandah_soffit_area=21.60 m²</t>
  </si>
  <si>
    <t>21.60 / 0.4</t>
  </si>
  <si>
    <t>E12</t>
  </si>
  <si>
    <t>Cornice / Ceiling Trim</t>
  </si>
  <si>
    <t>dxf_geometry: ext_wall_perimeter=38.40 m</t>
  </si>
  <si>
    <t>cornice = ext_wall_perimeter</t>
  </si>
  <si>
    <t>I01</t>
  </si>
  <si>
    <t>50117</t>
  </si>
  <si>
    <t>Hand Basin (dispensary)</t>
  </si>
  <si>
    <t>room_template:pharmacy</t>
  </si>
  <si>
    <t>room_schedule: Dispensary (type=pharmacy)</t>
  </si>
  <si>
    <t>room_template:pharmacy → Hand Basin (dispensary)</t>
  </si>
  <si>
    <t>I02</t>
  </si>
  <si>
    <t>Tapware (basin)</t>
  </si>
  <si>
    <t>set</t>
  </si>
  <si>
    <t>room_template:pharmacy → Tapware (basin)</t>
  </si>
  <si>
    <t>I03</t>
  </si>
  <si>
    <t>Cold Room / Refrigeration Allowance</t>
  </si>
  <si>
    <t>room_template:pharmacy → Cold Room / Refrigeration Allowance</t>
  </si>
  <si>
    <t>I04</t>
  </si>
  <si>
    <t>Builder's Works — Electrical (pharmacy)</t>
  </si>
  <si>
    <t>room_template:pharmacy → Builder's Works — Electrical (pharmacy)</t>
  </si>
  <si>
    <t>I05</t>
  </si>
  <si>
    <t>Builder's Works — Services (unclassified room)</t>
  </si>
  <si>
    <t>room_template:waiting</t>
  </si>
  <si>
    <t>room_schedule: Waiting / Reception (type=waiting)</t>
  </si>
  <si>
    <t>room_template:waiting → Builder's Works — Services (unclassified room)</t>
  </si>
  <si>
    <t>I06</t>
  </si>
  <si>
    <t>Hand Basin (consulting room)</t>
  </si>
  <si>
    <t>room_template:consulting</t>
  </si>
  <si>
    <t>room_schedule: Consultation Room (type=consulting)</t>
  </si>
  <si>
    <t>room_template:consulting → Hand Basin (consulting room)</t>
  </si>
  <si>
    <t>I07</t>
  </si>
  <si>
    <t>room_template:consulting → Tapware (basin)</t>
  </si>
  <si>
    <t>I08</t>
  </si>
  <si>
    <t>Builder's Works — Plumbing (consulting)</t>
  </si>
  <si>
    <t>room_template:consulting → Builder's Works — Plumbing (consulting)</t>
  </si>
  <si>
    <t>I09</t>
  </si>
  <si>
    <t>Builder's Works — Electrical (office)</t>
  </si>
  <si>
    <t>room_template:office</t>
  </si>
  <si>
    <t>room_schedule: Staff Room (type=office)</t>
  </si>
  <si>
    <t>room_template:office → Builder's Works — Electrical (office)</t>
  </si>
  <si>
    <t>I10</t>
  </si>
  <si>
    <t>WC Pan (close-coupled)</t>
  </si>
  <si>
    <t>room_template:toilet</t>
  </si>
  <si>
    <t>room_schedule: Toilet (type=toilet)</t>
  </si>
  <si>
    <t>room_template:toilet → WC Pan (close-coupled)</t>
  </si>
  <si>
    <t>I11</t>
  </si>
  <si>
    <t>WC Cistern</t>
  </si>
  <si>
    <t>room_template:toilet → WC Cistern</t>
  </si>
  <si>
    <t>I12</t>
  </si>
  <si>
    <t>Hand Basin</t>
  </si>
  <si>
    <t>room_template:toilet → Hand Basin</t>
  </si>
  <si>
    <t>I13</t>
  </si>
  <si>
    <t>room_template:toilet → Tapware (basin)</t>
  </si>
  <si>
    <t>I14</t>
  </si>
  <si>
    <t>Mirror / Medicine Cabinet</t>
  </si>
  <si>
    <t>room_template:toilet → Mirror / Medicine Cabinet</t>
  </si>
  <si>
    <t>I15</t>
  </si>
  <si>
    <t>Toilet Roll Holder</t>
  </si>
  <si>
    <t>room_template:toilet → Toilet Roll Holder</t>
  </si>
  <si>
    <t>I16</t>
  </si>
  <si>
    <t>Hand Towel Rail / Dryer</t>
  </si>
  <si>
    <t>room_template:toilet → Hand Towel Rail / Dryer</t>
  </si>
  <si>
    <t>I17</t>
  </si>
  <si>
    <t>Floor Waste</t>
  </si>
  <si>
    <t>room_template:toilet → Floor Waste</t>
  </si>
  <si>
    <t>I18</t>
  </si>
  <si>
    <t>Builder's Works — Plumbing (toilet)</t>
  </si>
  <si>
    <t>room_template:toilet → Builder's Works — Plumbing (toilet)</t>
  </si>
  <si>
    <t>I19</t>
  </si>
  <si>
    <t>Wet Area Wall Tiling — Toilet</t>
  </si>
  <si>
    <t>perim_est(8.5m) × tile_height(1.8m)</t>
  </si>
  <si>
    <t>room: Toilet (area=4.50 m², wet_area=True)</t>
  </si>
  <si>
    <t>perim × 1.8m splash zone</t>
  </si>
  <si>
    <t>I20</t>
  </si>
  <si>
    <t>Wet Area Waterproofing — Membrane</t>
  </si>
  <si>
    <t>room_area(4.50) + perim(8.5)×upstand(0.15m)</t>
  </si>
  <si>
    <t>room: Toilet (area=4.50 m²)</t>
  </si>
  <si>
    <t>I21</t>
  </si>
  <si>
    <t>room_template:store</t>
  </si>
  <si>
    <t>room_schedule: Storage (type=store)</t>
  </si>
  <si>
    <t>room_template:store → Builder's Works — Services (unclassified room)</t>
  </si>
  <si>
    <t>I22</t>
  </si>
  <si>
    <t>Air Conditioning / Mechanical Ventilation — PLACEHOLDER</t>
  </si>
  <si>
    <t>no mechanical schedule in source documents</t>
  </si>
  <si>
    <t>building_type=pharmacy: commercial building requires mechanical services</t>
  </si>
  <si>
    <t>I23</t>
  </si>
  <si>
    <t>Exhaust Fan — Wet Area (toilet / laundry)</t>
  </si>
  <si>
    <t>no mechanical schedule — wet area rooms require exhaust ventilation</t>
  </si>
  <si>
    <t>building_type=pharmacy: wet area ventilation required by BCA F4.6</t>
  </si>
  <si>
    <t>I24</t>
  </si>
  <si>
    <t>Main Electrical Switchboard / Distribution Board</t>
  </si>
  <si>
    <t>whole_building_services template</t>
  </si>
  <si>
    <t>floor_area=86.40 m² (building-wide)</t>
  </si>
  <si>
    <t>I25</t>
  </si>
  <si>
    <t>Main Water Meter / Stopcock</t>
  </si>
  <si>
    <t>I26</t>
  </si>
  <si>
    <t>Hot Water System (central)</t>
  </si>
  <si>
    <t>I27</t>
  </si>
  <si>
    <t>Smoke Detectors (provisional)</t>
  </si>
  <si>
    <t>ceil(floor_area / 40)</t>
  </si>
  <si>
    <t>C01</t>
  </si>
  <si>
    <t>50118</t>
  </si>
  <si>
    <t>Insulation Batts — Roof / Ceiling</t>
  </si>
  <si>
    <t>C02</t>
  </si>
  <si>
    <t>Insulation Batts — External Wall</t>
  </si>
  <si>
    <t>J01</t>
  </si>
  <si>
    <t>50124</t>
  </si>
  <si>
    <t>Stair Stringer (Prefabricated Set) — 3 RISER</t>
  </si>
  <si>
    <t>project_config: stair evidence</t>
  </si>
  <si>
    <t>project_config: STR-1</t>
  </si>
  <si>
    <t>DXF stair layer</t>
  </si>
  <si>
    <t>J02</t>
  </si>
  <si>
    <t>Stair Tread</t>
  </si>
  <si>
    <t>flights × risers_per_flight = 1 × 3</t>
  </si>
  <si>
    <t>project_config: risers_per_flight=3</t>
  </si>
  <si>
    <t>1 × 3</t>
  </si>
  <si>
    <t>J03</t>
  </si>
  <si>
    <t>Stair Newel Post</t>
  </si>
  <si>
    <t>flights × 2 newel posts = 1 × 2</t>
  </si>
  <si>
    <t>1 × 2</t>
  </si>
  <si>
    <t>J04</t>
  </si>
  <si>
    <t>Stair Balustrade — Top Rail</t>
  </si>
  <si>
    <t>run_est=0.75 m</t>
  </si>
  <si>
    <t>J05</t>
  </si>
  <si>
    <t>Stair Balustrade Post</t>
  </si>
  <si>
    <t>ceil(balustrade_lm / 1.2 m) = ceil(0.75/1.2)</t>
  </si>
  <si>
    <t>project_config: balustrade_lm=0.75 m</t>
  </si>
  <si>
    <t>ceil(lm / 1.2)</t>
  </si>
  <si>
    <t>J06</t>
  </si>
  <si>
    <t>Stair Balustrade Infill (glass / mesh / picket)</t>
  </si>
  <si>
    <t>balustrade_lm × 1.0 m height = 0.75 × 1.0</t>
  </si>
  <si>
    <t>lm × 1.0 m infill height</t>
  </si>
  <si>
    <t>J07</t>
  </si>
  <si>
    <t>Stair Handrail</t>
  </si>
  <si>
    <t>J08</t>
  </si>
  <si>
    <t>Access Ramp — Surface (concrete / non-slip)</t>
  </si>
  <si>
    <t>1:14 gradient × 525mm entry height × 1.2m wide [stair: 3 risers × 175 mm = 525 mm]</t>
  </si>
  <si>
    <t>derived from project_config: stair: 3 risers × 175 mm = 525 mm</t>
  </si>
  <si>
    <t>7.35 m run × 1.2 m wide</t>
  </si>
  <si>
    <t>J09</t>
  </si>
  <si>
    <t>Access Ramp — Handrail (both sides)</t>
  </si>
  <si>
    <t>ramp_run × 2 sides = 7.35 × 2</t>
  </si>
  <si>
    <t>derived from ramp run: 7.35 m (stair: 3 risers × 175 mm = 525 mm)</t>
  </si>
  <si>
    <t>7.35 × 2</t>
  </si>
  <si>
    <t>J10</t>
  </si>
  <si>
    <t>Access Ramp — Edge Kerb / Guard</t>
  </si>
  <si>
    <t>K01</t>
  </si>
  <si>
    <t>Verandah Balustrade</t>
  </si>
  <si>
    <t>DXF VERANDAH perimeter</t>
  </si>
  <si>
    <t>dxf_geometry: verandah_perimeter=20.40 m</t>
  </si>
  <si>
    <t>K02</t>
  </si>
  <si>
    <t>Verandah Handrail</t>
  </si>
  <si>
    <t>K03</t>
  </si>
  <si>
    <t>Balustrade Post</t>
  </si>
  <si>
    <t>ceil(verandah_perimeter / 1.2 m)</t>
  </si>
  <si>
    <t>derived from verandah_perimeter=20.40 m</t>
  </si>
  <si>
    <t>ceil(perimeter / 1.2)</t>
  </si>
  <si>
    <t>Notes / Action Required</t>
  </si>
  <si>
    <t>QA SUMMARY REPORT</t>
  </si>
  <si>
    <t>QUANTITY PROVENANCE</t>
  </si>
  <si>
    <t>Total Items</t>
  </si>
  <si>
    <t>Measured</t>
  </si>
  <si>
    <t>Calculated</t>
  </si>
  <si>
    <t>Inferred</t>
  </si>
  <si>
    <t>Placeholder</t>
  </si>
  <si>
    <t>Manual Review</t>
  </si>
  <si>
    <t>CONFIDENCE BREAKDOWN</t>
  </si>
  <si>
    <t>17.4%</t>
  </si>
  <si>
    <t>43.6%</t>
  </si>
  <si>
    <t>39.0%</t>
  </si>
  <si>
    <t>PACKAGE COMPLETENESS (V3 sections)</t>
  </si>
  <si>
    <t>Package</t>
  </si>
  <si>
    <t>Items</t>
  </si>
  <si>
    <t>structural_frame</t>
  </si>
  <si>
    <t>OK</t>
  </si>
  <si>
    <t>roof_cladding</t>
  </si>
  <si>
    <t>openings_doors</t>
  </si>
  <si>
    <t>openings_windows</t>
  </si>
  <si>
    <t>wall_lining_external</t>
  </si>
  <si>
    <t>wall_lining_internal</t>
  </si>
  <si>
    <t>ceiling_lining</t>
  </si>
  <si>
    <t>finishes</t>
  </si>
  <si>
    <t>floor_system</t>
  </si>
  <si>
    <t>UNCONFIRMED</t>
  </si>
  <si>
    <t>footings</t>
  </si>
  <si>
    <t>services</t>
  </si>
  <si>
    <t>insulation</t>
  </si>
  <si>
    <t>WARNINGS / ISSUES</t>
  </si>
  <si>
    <t>Template contamination check: PASSED — no BOQ template quantities detected.</t>
  </si>
  <si>
    <t>SOURCE SUMMARY</t>
  </si>
  <si>
    <t>Input Files</t>
  </si>
  <si>
    <t>ANGAU PHARMACY 01_arch.dxf</t>
  </si>
  <si>
    <t>Angau Pharmacy.ifc</t>
  </si>
  <si>
    <t>Angau Pharmacy Summary.pdf</t>
  </si>
  <si>
    <t>Quantity Status Breakdown by Source</t>
  </si>
  <si>
    <t>ceiling_area=64.80</t>
  </si>
  <si>
    <t>floor_area=86.40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</si>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</sst>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4"/>
      <name val="Calibri"/>
    </font>
    <font>
      <b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D5A80"/>
      </patternFill>
    </fill>
    <fill>
      <patternFill patternType="solid">
        <fgColor rgb="FFD6E4F0"/>
      </patternFill>
    </fill>
    <fill>
      <patternFill patternType="solid">
        <fgColor rgb="FFD5E8D4"/>
      </patternFill>
    </fill>
    <fill>
      <patternFill patternType="solid">
        <fgColor rgb="FFFFF3CD"/>
      </patternFill>
    </fill>
    <fill>
      <patternFill patternType="solid">
        <fgColor rgb="FFD5F5E3"/>
      </patternFill>
    </fill>
    <fill>
      <patternFill patternType="solid">
        <fgColor rgb="FFFFE6CC"/>
      </patternFill>
    </fill>
    <fill>
      <patternFill patternType="solid">
        <fgColor rgb="FFFCF3CF"/>
      </patternFill>
    </fill>
    <fill>
      <patternFill patternType="solid">
        <fgColor rgb="FFFDEBD0"/>
      </patternFill>
    </fill>
    <fill>
      <patternFill patternType="solid">
        <fgColor rgb="FFEAF4FB"/>
      </patternFill>
    </fill>
    <fill>
      <patternFill patternType="solid">
        <fgColor rgb="FFFEF9E7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medium">
        <color rgb="FF3D5A80"/>
      </left>
      <right style="medium">
        <color rgb="FF3D5A80"/>
      </right>
      <top/>
      <bottom style="medium">
        <color rgb="FF3D5A8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/>
    <xf numFmtId="0" fontId="0" fillId="4" borderId="2" xfId="0" applyFill="1" applyBorder="1"/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right" vertical="center"/>
    </xf>
    <xf numFmtId="0" fontId="0" fillId="5" borderId="2" xfId="0" applyFill="1" applyBorder="1"/>
    <xf numFmtId="0" fontId="0" fillId="5" borderId="2" xfId="0" applyFill="1" applyBorder="1" applyAlignment="1">
      <alignment vertical="top" wrapText="1"/>
    </xf>
    <xf numFmtId="0" fontId="0" fillId="5" borderId="2" xfId="0" applyFill="1" applyBorder="1" applyAlignment="1">
      <alignment horizontal="right" vertical="center"/>
    </xf>
    <xf numFmtId="0" fontId="0" fillId="6" borderId="2" xfId="0" applyFill="1" applyBorder="1"/>
    <xf numFmtId="0" fontId="0" fillId="6" borderId="2" xfId="0" applyFill="1" applyBorder="1" applyAlignment="1">
      <alignment vertical="top" wrapText="1"/>
    </xf>
    <xf numFmtId="0" fontId="0" fillId="6" borderId="2" xfId="0" applyFill="1" applyBorder="1" applyAlignment="1">
      <alignment horizontal="right" vertical="center"/>
    </xf>
    <xf numFmtId="0" fontId="0" fillId="7" borderId="2" xfId="0" applyFill="1" applyBorder="1"/>
    <xf numFmtId="0" fontId="0" fillId="7" borderId="2" xfId="0" applyFill="1" applyBorder="1" applyAlignment="1">
      <alignment vertical="top" wrapText="1"/>
    </xf>
    <xf numFmtId="0" fontId="0" fillId="7" borderId="2" xfId="0" applyFill="1" applyBorder="1" applyAlignment="1">
      <alignment horizontal="right" vertical="center"/>
    </xf>
    <xf numFmtId="0" fontId="0" fillId="8" borderId="2" xfId="0" applyFill="1" applyBorder="1"/>
    <xf numFmtId="0" fontId="0" fillId="8" borderId="2" xfId="0" applyFill="1" applyBorder="1" applyAlignment="1">
      <alignment vertical="top" wrapText="1"/>
    </xf>
    <xf numFmtId="0" fontId="0" fillId="8" borderId="2" xfId="0" applyFill="1" applyBorder="1" applyAlignment="1">
      <alignment horizontal="right" vertical="center"/>
    </xf>
    <xf numFmtId="0" fontId="0" fillId="9" borderId="2" xfId="0" applyFill="1" applyBorder="1"/>
    <xf numFmtId="0" fontId="0" fillId="9" borderId="2" xfId="0" applyFill="1" applyBorder="1" applyAlignment="1">
      <alignment vertical="top" wrapText="1"/>
    </xf>
    <xf numFmtId="0" fontId="0" fillId="9" borderId="2" xfId="0" applyFill="1" applyBorder="1" applyAlignment="1">
      <alignment horizontal="right" vertical="center"/>
    </xf>
    <xf numFmtId="0" fontId="0" fillId="10" borderId="2" xfId="0" applyFill="1" applyBorder="1"/>
    <xf numFmtId="0" fontId="0" fillId="10" borderId="2" xfId="0" applyFill="1" applyBorder="1" applyAlignment="1">
      <alignment vertical="top" wrapText="1"/>
    </xf>
    <xf numFmtId="0" fontId="0" fillId="10" borderId="2" xfId="0" applyFill="1" applyBorder="1" applyAlignment="1">
      <alignment horizontal="right" vertical="center"/>
    </xf>
    <xf numFmtId="0" fontId="0" fillId="11" borderId="2" xfId="0" applyFill="1" applyBorder="1"/>
    <xf numFmtId="0" fontId="0" fillId="11" borderId="2" xfId="0" applyFill="1" applyBorder="1" applyAlignment="1">
      <alignment vertical="top" wrapText="1"/>
    </xf>
    <xf numFmtId="0" fontId="0" fillId="11" borderId="2" xfId="0" applyFill="1" applyBorder="1" applyAlignment="1">
      <alignment horizontal="right" vertical="center"/>
    </xf>
    <xf numFmtId="0" fontId="0" fillId="12" borderId="2" xfId="0" applyFill="1" applyBorder="1"/>
    <xf numFmtId="0" fontId="0" fillId="12" borderId="2" xfId="0" applyFill="1" applyBorder="1" applyAlignment="1">
      <alignment vertical="top" wrapText="1"/>
    </xf>
    <xf numFmtId="0" fontId="0" fillId="12" borderId="2" xfId="0" applyFill="1" applyBorder="1" applyAlignment="1">
      <alignment horizontal="right" vertical="center"/>
    </xf>
    <xf numFmtId="0" fontId="0" fillId="0" borderId="2" xfId="0" applyBorder="1" applyAlignment="1">
      <alignment vertical="top" wrapText="1"/>
    </xf>
    <xf numFmtId="0" fontId="0" fillId="13" borderId="2" xfId="0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4"/>
  <sheetViews>
    <sheetView tabSelected="1" workbookViewId="0">
      <pane ySplit="2" topLeftCell="A21" activePane="bottomLeft" state="frozen"/>
      <selection pane="bottomLeft" sqref="A1:I1"/>
    </sheetView>
  </sheetViews>
  <sheetFormatPr defaultRowHeight="14.4" x14ac:dyDescent="0.3"/>
  <cols>
    <col min="1" max="1" width="16" customWidth="1"/>
    <col min="2" max="2" width="48" customWidth="1"/>
    <col min="3" max="3" width="8" customWidth="1"/>
    <col min="4" max="4" width="14" customWidth="1"/>
    <col min="5" max="5" width="10" customWidth="1"/>
    <col min="6" max="7" width="12" customWidth="1"/>
    <col min="8" max="8" width="20" customWidth="1"/>
    <col min="9" max="9" width="45" customWidth="1"/>
  </cols>
  <sheetData>
    <row r="1" spans="1:9" ht="28.05" customHeight="1" x14ac:dyDescent="0.35">
      <c r="A1" s="35" t="s">
        <v>0</v>
      </c>
      <c r="B1" s="36"/>
      <c r="C1" s="36"/>
      <c r="D1" s="36"/>
      <c r="E1" s="36"/>
      <c r="F1" s="36"/>
      <c r="G1" s="36"/>
      <c r="H1" s="36"/>
      <c r="I1" s="36"/>
    </row>
    <row r="2" spans="1:9" ht="30" customHeight="1" x14ac:dyDescent="0.3">
      <c r="A2" s="1" t="s">
        <v>1</v>
      </c>
      <c r="B2" s="1" t="s">
        <v>2</v>
      </c>
      <c r="C2" s="1" t="s">
        <v>3</v>
      </c>
      <c r="D2" s="1"/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8" customHeight="1" x14ac:dyDescent="0.3">
      <c r="A3" s="2" t="s">
        <v>9</v>
      </c>
      <c r="B3" s="3"/>
      <c r="C3" s="3"/>
      <c r="D3" s="3"/>
      <c r="E3" s="3"/>
      <c r="F3" s="3"/>
      <c r="G3" s="3"/>
      <c r="H3" s="3"/>
      <c r="I3" s="3"/>
    </row>
    <row r="4" spans="1:9" ht="72" x14ac:dyDescent="0.3">
      <c r="A4" s="4"/>
      <c r="B4" s="5" t="s">
        <v>10</v>
      </c>
      <c r="C4" s="6">
        <v>88.3</v>
      </c>
      <c r="D4" s="4" t="s">
        <v>11</v>
      </c>
      <c r="E4" s="4"/>
      <c r="F4" s="4"/>
      <c r="G4" s="4" t="s">
        <v>12</v>
      </c>
      <c r="H4" s="4" t="s">
        <v>13</v>
      </c>
      <c r="I4" s="5" t="s">
        <v>14</v>
      </c>
    </row>
    <row r="5" spans="1:9" ht="43.2" x14ac:dyDescent="0.3">
      <c r="A5" s="4"/>
      <c r="B5" s="5" t="s">
        <v>15</v>
      </c>
      <c r="C5" s="6">
        <v>60.3</v>
      </c>
      <c r="D5" s="4" t="s">
        <v>11</v>
      </c>
      <c r="E5" s="4"/>
      <c r="F5" s="4"/>
      <c r="G5" s="4" t="s">
        <v>12</v>
      </c>
      <c r="H5" s="4" t="s">
        <v>16</v>
      </c>
      <c r="I5" s="5" t="s">
        <v>17</v>
      </c>
    </row>
    <row r="6" spans="1:9" ht="28.8" x14ac:dyDescent="0.3">
      <c r="A6" s="4"/>
      <c r="B6" s="5" t="s">
        <v>15</v>
      </c>
      <c r="C6" s="6">
        <v>4.5</v>
      </c>
      <c r="D6" s="4" t="s">
        <v>11</v>
      </c>
      <c r="E6" s="4"/>
      <c r="F6" s="4"/>
      <c r="G6" s="4" t="s">
        <v>12</v>
      </c>
      <c r="H6" s="4" t="s">
        <v>16</v>
      </c>
      <c r="I6" s="5" t="s">
        <v>18</v>
      </c>
    </row>
    <row r="7" spans="1:9" x14ac:dyDescent="0.3">
      <c r="A7" s="4"/>
      <c r="B7" s="5" t="s">
        <v>19</v>
      </c>
      <c r="C7" s="6">
        <v>92.16</v>
      </c>
      <c r="D7" s="4" t="s">
        <v>11</v>
      </c>
      <c r="E7" s="4"/>
      <c r="F7" s="4"/>
      <c r="G7" s="4" t="s">
        <v>12</v>
      </c>
      <c r="H7" s="4" t="s">
        <v>20</v>
      </c>
      <c r="I7" s="5" t="s">
        <v>21</v>
      </c>
    </row>
    <row r="8" spans="1:9" x14ac:dyDescent="0.3">
      <c r="A8" s="4"/>
      <c r="B8" s="5" t="s">
        <v>22</v>
      </c>
      <c r="C8" s="6">
        <v>205.92</v>
      </c>
      <c r="D8" s="4" t="s">
        <v>11</v>
      </c>
      <c r="E8" s="4"/>
      <c r="F8" s="4"/>
      <c r="G8" s="4" t="s">
        <v>12</v>
      </c>
      <c r="H8" s="4" t="s">
        <v>23</v>
      </c>
      <c r="I8" s="5" t="s">
        <v>24</v>
      </c>
    </row>
    <row r="9" spans="1:9" ht="18" customHeight="1" x14ac:dyDescent="0.3">
      <c r="A9" s="2" t="s">
        <v>25</v>
      </c>
      <c r="B9" s="3"/>
      <c r="C9" s="3"/>
      <c r="D9" s="3"/>
      <c r="E9" s="3"/>
      <c r="F9" s="3"/>
      <c r="G9" s="3"/>
      <c r="H9" s="3"/>
      <c r="I9" s="3"/>
    </row>
    <row r="10" spans="1:9" x14ac:dyDescent="0.3">
      <c r="A10" s="7"/>
      <c r="B10" s="8" t="s">
        <v>26</v>
      </c>
      <c r="C10" s="9">
        <v>481.74</v>
      </c>
      <c r="D10" s="7" t="s">
        <v>27</v>
      </c>
      <c r="E10" s="7"/>
      <c r="F10" s="7"/>
      <c r="G10" s="7" t="s">
        <v>28</v>
      </c>
      <c r="H10" s="7" t="s">
        <v>29</v>
      </c>
      <c r="I10" s="8"/>
    </row>
    <row r="11" spans="1:9" ht="86.4" x14ac:dyDescent="0.3">
      <c r="A11" s="7"/>
      <c r="B11" s="8" t="s">
        <v>30</v>
      </c>
      <c r="C11" s="9">
        <v>1634.29</v>
      </c>
      <c r="D11" s="7" t="s">
        <v>27</v>
      </c>
      <c r="E11" s="7"/>
      <c r="F11" s="7"/>
      <c r="G11" s="7" t="s">
        <v>28</v>
      </c>
      <c r="H11" s="7" t="s">
        <v>29</v>
      </c>
      <c r="I11" s="8" t="s">
        <v>31</v>
      </c>
    </row>
    <row r="12" spans="1:9" x14ac:dyDescent="0.3">
      <c r="A12" s="7"/>
      <c r="B12" s="8" t="s">
        <v>32</v>
      </c>
      <c r="C12" s="9">
        <v>2250.69</v>
      </c>
      <c r="D12" s="7" t="s">
        <v>27</v>
      </c>
      <c r="E12" s="7"/>
      <c r="F12" s="7"/>
      <c r="G12" s="7" t="s">
        <v>28</v>
      </c>
      <c r="H12" s="7" t="s">
        <v>29</v>
      </c>
      <c r="I12" s="8"/>
    </row>
    <row r="13" spans="1:9" x14ac:dyDescent="0.3">
      <c r="A13" s="7"/>
      <c r="B13" s="8" t="s">
        <v>33</v>
      </c>
      <c r="C13" s="9">
        <v>3.57</v>
      </c>
      <c r="D13" s="7" t="s">
        <v>27</v>
      </c>
      <c r="E13" s="7"/>
      <c r="F13" s="7"/>
      <c r="G13" s="7" t="s">
        <v>28</v>
      </c>
      <c r="H13" s="7" t="s">
        <v>29</v>
      </c>
      <c r="I13" s="8"/>
    </row>
    <row r="14" spans="1:9" x14ac:dyDescent="0.3">
      <c r="A14" s="7"/>
      <c r="B14" s="8" t="s">
        <v>34</v>
      </c>
      <c r="C14" s="9">
        <v>49.73</v>
      </c>
      <c r="D14" s="7" t="s">
        <v>27</v>
      </c>
      <c r="E14" s="7"/>
      <c r="F14" s="7"/>
      <c r="G14" s="7" t="s">
        <v>28</v>
      </c>
      <c r="H14" s="7" t="s">
        <v>29</v>
      </c>
      <c r="I14" s="8"/>
    </row>
    <row r="15" spans="1:9" x14ac:dyDescent="0.3">
      <c r="A15" s="7"/>
      <c r="B15" s="8" t="s">
        <v>35</v>
      </c>
      <c r="C15" s="9">
        <v>69.91</v>
      </c>
      <c r="D15" s="7" t="s">
        <v>27</v>
      </c>
      <c r="E15" s="7"/>
      <c r="F15" s="7"/>
      <c r="G15" s="7" t="s">
        <v>28</v>
      </c>
      <c r="H15" s="7" t="s">
        <v>36</v>
      </c>
      <c r="I15" s="8"/>
    </row>
    <row r="16" spans="1:9" x14ac:dyDescent="0.3">
      <c r="A16" s="7"/>
      <c r="B16" s="8" t="s">
        <v>37</v>
      </c>
      <c r="C16" s="9">
        <v>96.69</v>
      </c>
      <c r="D16" s="7" t="s">
        <v>27</v>
      </c>
      <c r="E16" s="7"/>
      <c r="F16" s="7"/>
      <c r="G16" s="7" t="s">
        <v>28</v>
      </c>
      <c r="H16" s="7" t="s">
        <v>36</v>
      </c>
      <c r="I16" s="8"/>
    </row>
    <row r="17" spans="1:9" ht="72" x14ac:dyDescent="0.3">
      <c r="A17" s="7"/>
      <c r="B17" s="8" t="s">
        <v>38</v>
      </c>
      <c r="C17" s="9">
        <v>1385.3</v>
      </c>
      <c r="D17" s="7" t="s">
        <v>27</v>
      </c>
      <c r="E17" s="7"/>
      <c r="F17" s="7"/>
      <c r="G17" s="7" t="s">
        <v>28</v>
      </c>
      <c r="H17" s="7" t="s">
        <v>29</v>
      </c>
      <c r="I17" s="8" t="s">
        <v>39</v>
      </c>
    </row>
    <row r="18" spans="1:9" ht="57.6" x14ac:dyDescent="0.3">
      <c r="A18" s="7"/>
      <c r="B18" s="8" t="s">
        <v>40</v>
      </c>
      <c r="C18" s="9">
        <v>176</v>
      </c>
      <c r="D18" s="7" t="s">
        <v>27</v>
      </c>
      <c r="E18" s="7"/>
      <c r="F18" s="7"/>
      <c r="G18" s="7" t="s">
        <v>41</v>
      </c>
      <c r="H18" s="7" t="s">
        <v>29</v>
      </c>
      <c r="I18" s="8" t="s">
        <v>42</v>
      </c>
    </row>
    <row r="19" spans="1:9" ht="57.6" x14ac:dyDescent="0.3">
      <c r="A19" s="7"/>
      <c r="B19" s="8" t="s">
        <v>40</v>
      </c>
      <c r="C19" s="9">
        <v>5</v>
      </c>
      <c r="D19" s="7" t="s">
        <v>27</v>
      </c>
      <c r="E19" s="7"/>
      <c r="F19" s="7"/>
      <c r="G19" s="7" t="s">
        <v>41</v>
      </c>
      <c r="H19" s="7" t="s">
        <v>29</v>
      </c>
      <c r="I19" s="8" t="s">
        <v>43</v>
      </c>
    </row>
    <row r="20" spans="1:9" ht="57.6" x14ac:dyDescent="0.3">
      <c r="A20" s="7"/>
      <c r="B20" s="8" t="s">
        <v>38</v>
      </c>
      <c r="C20" s="9">
        <v>85</v>
      </c>
      <c r="D20" s="7" t="s">
        <v>27</v>
      </c>
      <c r="E20" s="7"/>
      <c r="F20" s="7"/>
      <c r="G20" s="7" t="s">
        <v>12</v>
      </c>
      <c r="H20" s="7" t="s">
        <v>29</v>
      </c>
      <c r="I20" s="8" t="s">
        <v>44</v>
      </c>
    </row>
    <row r="21" spans="1:9" ht="86.4" x14ac:dyDescent="0.3">
      <c r="A21" s="10"/>
      <c r="B21" s="11" t="s">
        <v>45</v>
      </c>
      <c r="C21" s="12">
        <v>21</v>
      </c>
      <c r="D21" s="10" t="s">
        <v>46</v>
      </c>
      <c r="E21" s="10"/>
      <c r="F21" s="10"/>
      <c r="G21" s="10" t="s">
        <v>41</v>
      </c>
      <c r="H21" s="10" t="s">
        <v>47</v>
      </c>
      <c r="I21" s="11" t="s">
        <v>48</v>
      </c>
    </row>
    <row r="22" spans="1:9" ht="86.4" x14ac:dyDescent="0.3">
      <c r="A22" s="10"/>
      <c r="B22" s="11" t="s">
        <v>49</v>
      </c>
      <c r="C22" s="12">
        <v>100.8</v>
      </c>
      <c r="D22" s="10" t="s">
        <v>46</v>
      </c>
      <c r="E22" s="10"/>
      <c r="F22" s="10"/>
      <c r="G22" s="10" t="s">
        <v>41</v>
      </c>
      <c r="H22" s="10" t="s">
        <v>47</v>
      </c>
      <c r="I22" s="11" t="s">
        <v>50</v>
      </c>
    </row>
    <row r="23" spans="1:9" ht="86.4" x14ac:dyDescent="0.3">
      <c r="A23" s="10"/>
      <c r="B23" s="11" t="s">
        <v>51</v>
      </c>
      <c r="C23" s="12">
        <v>3</v>
      </c>
      <c r="D23" s="10" t="s">
        <v>46</v>
      </c>
      <c r="E23" s="10"/>
      <c r="F23" s="10"/>
      <c r="G23" s="10" t="s">
        <v>41</v>
      </c>
      <c r="H23" s="10" t="s">
        <v>47</v>
      </c>
      <c r="I23" s="11" t="s">
        <v>52</v>
      </c>
    </row>
    <row r="24" spans="1:9" ht="72" x14ac:dyDescent="0.3">
      <c r="A24" s="10"/>
      <c r="B24" s="11" t="s">
        <v>53</v>
      </c>
      <c r="C24" s="12">
        <v>9</v>
      </c>
      <c r="D24" s="10" t="s">
        <v>46</v>
      </c>
      <c r="E24" s="10"/>
      <c r="F24" s="10"/>
      <c r="G24" s="10" t="s">
        <v>41</v>
      </c>
      <c r="H24" s="10" t="s">
        <v>47</v>
      </c>
      <c r="I24" s="11" t="s">
        <v>54</v>
      </c>
    </row>
    <row r="25" spans="1:9" ht="72" x14ac:dyDescent="0.3">
      <c r="A25" s="10"/>
      <c r="B25" s="11" t="s">
        <v>55</v>
      </c>
      <c r="C25" s="12">
        <v>43.2</v>
      </c>
      <c r="D25" s="10" t="s">
        <v>46</v>
      </c>
      <c r="E25" s="10"/>
      <c r="F25" s="10"/>
      <c r="G25" s="10" t="s">
        <v>41</v>
      </c>
      <c r="H25" s="10" t="s">
        <v>47</v>
      </c>
      <c r="I25" s="11" t="s">
        <v>56</v>
      </c>
    </row>
    <row r="26" spans="1:9" ht="72" x14ac:dyDescent="0.3">
      <c r="A26" s="10"/>
      <c r="B26" s="11" t="s">
        <v>57</v>
      </c>
      <c r="C26" s="12">
        <v>2</v>
      </c>
      <c r="D26" s="10" t="s">
        <v>46</v>
      </c>
      <c r="E26" s="10"/>
      <c r="F26" s="10"/>
      <c r="G26" s="10" t="s">
        <v>41</v>
      </c>
      <c r="H26" s="10" t="s">
        <v>47</v>
      </c>
      <c r="I26" s="11" t="s">
        <v>58</v>
      </c>
    </row>
    <row r="27" spans="1:9" ht="28.8" x14ac:dyDescent="0.3">
      <c r="A27" s="10"/>
      <c r="B27" s="11" t="s">
        <v>59</v>
      </c>
      <c r="C27" s="12">
        <v>24</v>
      </c>
      <c r="D27" s="10" t="s">
        <v>11</v>
      </c>
      <c r="E27" s="10"/>
      <c r="F27" s="10"/>
      <c r="G27" s="10" t="s">
        <v>41</v>
      </c>
      <c r="H27" s="10" t="s">
        <v>60</v>
      </c>
      <c r="I27" s="11" t="s">
        <v>61</v>
      </c>
    </row>
    <row r="28" spans="1:9" x14ac:dyDescent="0.3">
      <c r="A28" s="7"/>
      <c r="B28" s="8" t="s">
        <v>62</v>
      </c>
      <c r="C28" s="9">
        <v>2</v>
      </c>
      <c r="D28" s="7" t="s">
        <v>11</v>
      </c>
      <c r="E28" s="7"/>
      <c r="F28" s="7"/>
      <c r="G28" s="7" t="s">
        <v>41</v>
      </c>
      <c r="H28" s="7" t="s">
        <v>60</v>
      </c>
      <c r="I28" s="8" t="s">
        <v>63</v>
      </c>
    </row>
    <row r="29" spans="1:9" ht="43.2" x14ac:dyDescent="0.3">
      <c r="A29" s="7"/>
      <c r="B29" s="8" t="s">
        <v>64</v>
      </c>
      <c r="C29" s="9">
        <v>38.4</v>
      </c>
      <c r="D29" s="7" t="s">
        <v>11</v>
      </c>
      <c r="E29" s="7"/>
      <c r="F29" s="7"/>
      <c r="G29" s="7" t="s">
        <v>12</v>
      </c>
      <c r="H29" s="7" t="s">
        <v>65</v>
      </c>
      <c r="I29" s="8" t="s">
        <v>66</v>
      </c>
    </row>
    <row r="30" spans="1:9" ht="57.6" x14ac:dyDescent="0.3">
      <c r="A30" s="10"/>
      <c r="B30" s="11" t="s">
        <v>67</v>
      </c>
      <c r="C30" s="12">
        <v>7.68</v>
      </c>
      <c r="D30" s="10" t="s">
        <v>11</v>
      </c>
      <c r="E30" s="10"/>
      <c r="F30" s="10"/>
      <c r="G30" s="10" t="s">
        <v>41</v>
      </c>
      <c r="H30" s="10" t="s">
        <v>65</v>
      </c>
      <c r="I30" s="11" t="s">
        <v>68</v>
      </c>
    </row>
    <row r="31" spans="1:9" x14ac:dyDescent="0.3">
      <c r="A31" s="7"/>
      <c r="B31" s="8" t="s">
        <v>69</v>
      </c>
      <c r="C31" s="9">
        <v>38.4</v>
      </c>
      <c r="D31" s="7" t="s">
        <v>11</v>
      </c>
      <c r="E31" s="7"/>
      <c r="F31" s="7"/>
      <c r="G31" s="7" t="s">
        <v>12</v>
      </c>
      <c r="H31" s="7" t="s">
        <v>65</v>
      </c>
      <c r="I31" s="8"/>
    </row>
    <row r="32" spans="1:9" ht="28.8" x14ac:dyDescent="0.3">
      <c r="A32" s="10"/>
      <c r="B32" s="11" t="s">
        <v>70</v>
      </c>
      <c r="C32" s="12">
        <v>0</v>
      </c>
      <c r="D32" s="10" t="s">
        <v>71</v>
      </c>
      <c r="E32" s="10"/>
      <c r="F32" s="10"/>
      <c r="G32" s="10" t="s">
        <v>41</v>
      </c>
      <c r="H32" s="10" t="s">
        <v>72</v>
      </c>
      <c r="I32" s="11" t="s">
        <v>73</v>
      </c>
    </row>
    <row r="33" spans="1:9" ht="57.6" x14ac:dyDescent="0.3">
      <c r="A33" s="7"/>
      <c r="B33" s="8" t="s">
        <v>74</v>
      </c>
      <c r="C33" s="9">
        <v>29.4</v>
      </c>
      <c r="D33" s="7" t="s">
        <v>11</v>
      </c>
      <c r="E33" s="7"/>
      <c r="F33" s="7"/>
      <c r="G33" s="7" t="s">
        <v>12</v>
      </c>
      <c r="H33" s="7" t="s">
        <v>20</v>
      </c>
      <c r="I33" s="8" t="s">
        <v>75</v>
      </c>
    </row>
    <row r="34" spans="1:9" ht="28.8" x14ac:dyDescent="0.3">
      <c r="A34" s="10"/>
      <c r="B34" s="11" t="s">
        <v>74</v>
      </c>
      <c r="C34" s="12">
        <v>5.88</v>
      </c>
      <c r="D34" s="10" t="s">
        <v>11</v>
      </c>
      <c r="E34" s="10"/>
      <c r="F34" s="10"/>
      <c r="G34" s="10" t="s">
        <v>41</v>
      </c>
      <c r="H34" s="10" t="s">
        <v>76</v>
      </c>
      <c r="I34" s="11" t="s">
        <v>77</v>
      </c>
    </row>
    <row r="35" spans="1:9" x14ac:dyDescent="0.3">
      <c r="A35" s="7"/>
      <c r="B35" s="8" t="s">
        <v>78</v>
      </c>
      <c r="C35" s="9">
        <v>15</v>
      </c>
      <c r="D35" s="7" t="s">
        <v>27</v>
      </c>
      <c r="E35" s="7"/>
      <c r="F35" s="7"/>
      <c r="G35" s="7" t="s">
        <v>12</v>
      </c>
      <c r="H35" s="7" t="s">
        <v>20</v>
      </c>
      <c r="I35" s="8"/>
    </row>
    <row r="36" spans="1:9" ht="28.8" x14ac:dyDescent="0.3">
      <c r="A36" s="10"/>
      <c r="B36" s="11" t="s">
        <v>79</v>
      </c>
      <c r="C36" s="12">
        <v>5.1449999999999996</v>
      </c>
      <c r="D36" s="10" t="s">
        <v>11</v>
      </c>
      <c r="E36" s="10"/>
      <c r="F36" s="10"/>
      <c r="G36" s="10" t="s">
        <v>41</v>
      </c>
      <c r="H36" s="10" t="s">
        <v>76</v>
      </c>
      <c r="I36" s="11" t="s">
        <v>80</v>
      </c>
    </row>
    <row r="37" spans="1:9" ht="18" customHeight="1" x14ac:dyDescent="0.3">
      <c r="A37" s="2" t="s">
        <v>81</v>
      </c>
      <c r="B37" s="3"/>
      <c r="C37" s="3"/>
      <c r="D37" s="3"/>
      <c r="E37" s="3"/>
      <c r="F37" s="3"/>
      <c r="G37" s="3"/>
      <c r="H37" s="3"/>
      <c r="I37" s="3"/>
    </row>
    <row r="38" spans="1:9" ht="72" x14ac:dyDescent="0.3">
      <c r="A38" s="10"/>
      <c r="B38" s="11" t="s">
        <v>82</v>
      </c>
      <c r="C38" s="12">
        <v>19</v>
      </c>
      <c r="D38" s="10" t="s">
        <v>11</v>
      </c>
      <c r="E38" s="10"/>
      <c r="F38" s="10"/>
      <c r="G38" s="10" t="s">
        <v>12</v>
      </c>
      <c r="H38" s="10" t="s">
        <v>29</v>
      </c>
      <c r="I38" s="11" t="s">
        <v>83</v>
      </c>
    </row>
    <row r="39" spans="1:9" ht="57.6" x14ac:dyDescent="0.3">
      <c r="A39" s="10"/>
      <c r="B39" s="11" t="s">
        <v>84</v>
      </c>
      <c r="C39" s="12">
        <v>3</v>
      </c>
      <c r="D39" s="10" t="s">
        <v>11</v>
      </c>
      <c r="E39" s="10"/>
      <c r="F39" s="10"/>
      <c r="G39" s="10" t="s">
        <v>12</v>
      </c>
      <c r="H39" s="10" t="s">
        <v>29</v>
      </c>
      <c r="I39" s="11" t="s">
        <v>85</v>
      </c>
    </row>
    <row r="40" spans="1:9" ht="72" x14ac:dyDescent="0.3">
      <c r="A40" s="10"/>
      <c r="B40" s="11" t="s">
        <v>86</v>
      </c>
      <c r="C40" s="12">
        <v>7</v>
      </c>
      <c r="D40" s="10" t="s">
        <v>11</v>
      </c>
      <c r="E40" s="10"/>
      <c r="F40" s="10"/>
      <c r="G40" s="10" t="s">
        <v>41</v>
      </c>
      <c r="H40" s="10" t="s">
        <v>29</v>
      </c>
      <c r="I40" s="11" t="s">
        <v>87</v>
      </c>
    </row>
    <row r="41" spans="1:9" ht="57.6" x14ac:dyDescent="0.3">
      <c r="A41" s="10"/>
      <c r="B41" s="11" t="s">
        <v>88</v>
      </c>
      <c r="C41" s="12">
        <v>60</v>
      </c>
      <c r="D41" s="10" t="s">
        <v>11</v>
      </c>
      <c r="E41" s="10"/>
      <c r="F41" s="10"/>
      <c r="G41" s="10" t="s">
        <v>12</v>
      </c>
      <c r="H41" s="10" t="s">
        <v>20</v>
      </c>
      <c r="I41" s="11" t="s">
        <v>89</v>
      </c>
    </row>
    <row r="42" spans="1:9" ht="57.6" x14ac:dyDescent="0.3">
      <c r="A42" s="10"/>
      <c r="B42" s="11" t="s">
        <v>90</v>
      </c>
      <c r="C42" s="12">
        <v>28</v>
      </c>
      <c r="D42" s="10" t="s">
        <v>11</v>
      </c>
      <c r="E42" s="10"/>
      <c r="F42" s="10"/>
      <c r="G42" s="10" t="s">
        <v>41</v>
      </c>
      <c r="H42" s="10" t="s">
        <v>36</v>
      </c>
      <c r="I42" s="11" t="s">
        <v>91</v>
      </c>
    </row>
    <row r="43" spans="1:9" ht="57.6" x14ac:dyDescent="0.3">
      <c r="A43" s="10"/>
      <c r="B43" s="11" t="s">
        <v>92</v>
      </c>
      <c r="C43" s="12">
        <v>36</v>
      </c>
      <c r="D43" s="10" t="s">
        <v>11</v>
      </c>
      <c r="E43" s="10"/>
      <c r="F43" s="10"/>
      <c r="G43" s="10" t="s">
        <v>41</v>
      </c>
      <c r="H43" s="10" t="s">
        <v>20</v>
      </c>
      <c r="I43" s="11" t="s">
        <v>93</v>
      </c>
    </row>
    <row r="44" spans="1:9" ht="57.6" x14ac:dyDescent="0.3">
      <c r="A44" s="10"/>
      <c r="B44" s="11" t="s">
        <v>94</v>
      </c>
      <c r="C44" s="12">
        <v>60</v>
      </c>
      <c r="D44" s="10" t="s">
        <v>11</v>
      </c>
      <c r="E44" s="10"/>
      <c r="F44" s="10"/>
      <c r="G44" s="10" t="s">
        <v>41</v>
      </c>
      <c r="H44" s="10" t="s">
        <v>20</v>
      </c>
      <c r="I44" s="11" t="s">
        <v>95</v>
      </c>
    </row>
    <row r="45" spans="1:9" ht="43.2" x14ac:dyDescent="0.3">
      <c r="A45" s="10"/>
      <c r="B45" s="11" t="s">
        <v>96</v>
      </c>
      <c r="C45" s="12">
        <v>18</v>
      </c>
      <c r="D45" s="10" t="s">
        <v>11</v>
      </c>
      <c r="E45" s="10"/>
      <c r="F45" s="10"/>
      <c r="G45" s="10" t="s">
        <v>41</v>
      </c>
      <c r="H45" s="10" t="s">
        <v>29</v>
      </c>
      <c r="I45" s="11" t="s">
        <v>97</v>
      </c>
    </row>
    <row r="46" spans="1:9" ht="57.6" x14ac:dyDescent="0.3">
      <c r="A46" s="10"/>
      <c r="B46" s="11" t="s">
        <v>98</v>
      </c>
      <c r="C46" s="12">
        <v>34</v>
      </c>
      <c r="D46" s="10" t="s">
        <v>11</v>
      </c>
      <c r="E46" s="10"/>
      <c r="F46" s="10"/>
      <c r="G46" s="10" t="s">
        <v>41</v>
      </c>
      <c r="H46" s="10" t="s">
        <v>29</v>
      </c>
      <c r="I46" s="11" t="s">
        <v>99</v>
      </c>
    </row>
    <row r="47" spans="1:9" ht="72" x14ac:dyDescent="0.3">
      <c r="A47" s="10"/>
      <c r="B47" s="11" t="s">
        <v>100</v>
      </c>
      <c r="C47" s="12">
        <v>45</v>
      </c>
      <c r="D47" s="10" t="s">
        <v>46</v>
      </c>
      <c r="E47" s="10"/>
      <c r="F47" s="10"/>
      <c r="G47" s="10" t="s">
        <v>41</v>
      </c>
      <c r="H47" s="10" t="s">
        <v>20</v>
      </c>
      <c r="I47" s="11" t="s">
        <v>101</v>
      </c>
    </row>
    <row r="48" spans="1:9" ht="129.6" x14ac:dyDescent="0.3">
      <c r="A48" s="10"/>
      <c r="B48" s="11" t="s">
        <v>102</v>
      </c>
      <c r="C48" s="12">
        <v>0</v>
      </c>
      <c r="D48" s="10" t="s">
        <v>71</v>
      </c>
      <c r="E48" s="10"/>
      <c r="F48" s="10"/>
      <c r="G48" s="10" t="s">
        <v>41</v>
      </c>
      <c r="H48" s="10" t="s">
        <v>103</v>
      </c>
      <c r="I48" s="11" t="s">
        <v>104</v>
      </c>
    </row>
    <row r="49" spans="1:9" ht="18" customHeight="1" x14ac:dyDescent="0.3">
      <c r="A49" s="2" t="s">
        <v>105</v>
      </c>
      <c r="B49" s="3"/>
      <c r="C49" s="3"/>
      <c r="D49" s="3"/>
      <c r="E49" s="3"/>
      <c r="F49" s="3"/>
      <c r="G49" s="3"/>
      <c r="H49" s="3"/>
      <c r="I49" s="3"/>
    </row>
    <row r="50" spans="1:9" x14ac:dyDescent="0.3">
      <c r="A50" s="13"/>
      <c r="B50" s="14" t="s">
        <v>106</v>
      </c>
      <c r="C50" s="15">
        <v>2</v>
      </c>
      <c r="D50" s="13" t="s">
        <v>11</v>
      </c>
      <c r="E50" s="13"/>
      <c r="F50" s="13"/>
      <c r="G50" s="13" t="s">
        <v>28</v>
      </c>
      <c r="H50" s="13" t="s">
        <v>20</v>
      </c>
      <c r="I50" s="14"/>
    </row>
    <row r="51" spans="1:9" ht="28.8" x14ac:dyDescent="0.3">
      <c r="A51" s="13"/>
      <c r="B51" s="14" t="s">
        <v>107</v>
      </c>
      <c r="C51" s="15">
        <v>11</v>
      </c>
      <c r="D51" s="13" t="s">
        <v>11</v>
      </c>
      <c r="E51" s="13"/>
      <c r="F51" s="13"/>
      <c r="G51" s="13" t="s">
        <v>12</v>
      </c>
      <c r="H51" s="13" t="s">
        <v>20</v>
      </c>
      <c r="I51" s="14" t="s">
        <v>108</v>
      </c>
    </row>
    <row r="52" spans="1:9" ht="43.2" x14ac:dyDescent="0.3">
      <c r="A52" s="10"/>
      <c r="B52" s="11" t="s">
        <v>109</v>
      </c>
      <c r="C52" s="12">
        <v>49</v>
      </c>
      <c r="D52" s="10" t="s">
        <v>11</v>
      </c>
      <c r="E52" s="10"/>
      <c r="F52" s="10"/>
      <c r="G52" s="10" t="s">
        <v>12</v>
      </c>
      <c r="H52" s="10" t="s">
        <v>20</v>
      </c>
      <c r="I52" s="11" t="s">
        <v>110</v>
      </c>
    </row>
    <row r="53" spans="1:9" x14ac:dyDescent="0.3">
      <c r="A53" s="13"/>
      <c r="B53" s="14" t="s">
        <v>111</v>
      </c>
      <c r="C53" s="15">
        <v>10.6</v>
      </c>
      <c r="D53" s="13" t="s">
        <v>11</v>
      </c>
      <c r="E53" s="13"/>
      <c r="F53" s="13"/>
      <c r="G53" s="13" t="s">
        <v>12</v>
      </c>
      <c r="H53" s="13" t="s">
        <v>20</v>
      </c>
      <c r="I53" s="14"/>
    </row>
    <row r="54" spans="1:9" x14ac:dyDescent="0.3">
      <c r="A54" s="13"/>
      <c r="B54" s="14" t="s">
        <v>112</v>
      </c>
      <c r="C54" s="15">
        <v>36</v>
      </c>
      <c r="D54" s="13" t="s">
        <v>11</v>
      </c>
      <c r="E54" s="13"/>
      <c r="F54" s="13"/>
      <c r="G54" s="13" t="s">
        <v>12</v>
      </c>
      <c r="H54" s="13" t="s">
        <v>20</v>
      </c>
      <c r="I54" s="14" t="s">
        <v>113</v>
      </c>
    </row>
    <row r="55" spans="1:9" x14ac:dyDescent="0.3">
      <c r="A55" s="13"/>
      <c r="B55" s="14" t="s">
        <v>114</v>
      </c>
      <c r="C55" s="15">
        <v>2</v>
      </c>
      <c r="D55" s="13" t="s">
        <v>11</v>
      </c>
      <c r="E55" s="13"/>
      <c r="F55" s="13"/>
      <c r="G55" s="13" t="s">
        <v>12</v>
      </c>
      <c r="H55" s="13" t="s">
        <v>20</v>
      </c>
      <c r="I55" s="14" t="s">
        <v>115</v>
      </c>
    </row>
    <row r="56" spans="1:9" x14ac:dyDescent="0.3">
      <c r="A56" s="13"/>
      <c r="B56" s="14" t="s">
        <v>116</v>
      </c>
      <c r="C56" s="15">
        <v>42.4</v>
      </c>
      <c r="D56" s="13" t="s">
        <v>11</v>
      </c>
      <c r="E56" s="13"/>
      <c r="F56" s="13"/>
      <c r="G56" s="13" t="s">
        <v>12</v>
      </c>
      <c r="H56" s="13" t="s">
        <v>20</v>
      </c>
      <c r="I56" s="14"/>
    </row>
    <row r="57" spans="1:9" x14ac:dyDescent="0.3">
      <c r="A57" s="13"/>
      <c r="B57" s="14" t="s">
        <v>117</v>
      </c>
      <c r="C57" s="15">
        <v>71</v>
      </c>
      <c r="D57" s="13" t="s">
        <v>11</v>
      </c>
      <c r="E57" s="13"/>
      <c r="F57" s="13"/>
      <c r="G57" s="13" t="s">
        <v>12</v>
      </c>
      <c r="H57" s="13" t="s">
        <v>20</v>
      </c>
      <c r="I57" s="14" t="s">
        <v>118</v>
      </c>
    </row>
    <row r="58" spans="1:9" x14ac:dyDescent="0.3">
      <c r="A58" s="13"/>
      <c r="B58" s="14" t="s">
        <v>119</v>
      </c>
      <c r="C58" s="15">
        <v>42.4</v>
      </c>
      <c r="D58" s="13" t="s">
        <v>11</v>
      </c>
      <c r="E58" s="13"/>
      <c r="F58" s="13"/>
      <c r="G58" s="13" t="s">
        <v>12</v>
      </c>
      <c r="H58" s="13" t="s">
        <v>20</v>
      </c>
      <c r="I58" s="14" t="s">
        <v>120</v>
      </c>
    </row>
    <row r="59" spans="1:9" x14ac:dyDescent="0.3">
      <c r="A59" s="13"/>
      <c r="B59" s="14" t="s">
        <v>121</v>
      </c>
      <c r="C59" s="15">
        <v>42.4</v>
      </c>
      <c r="D59" s="13" t="s">
        <v>11</v>
      </c>
      <c r="E59" s="13"/>
      <c r="F59" s="13"/>
      <c r="G59" s="13" t="s">
        <v>12</v>
      </c>
      <c r="H59" s="13" t="s">
        <v>20</v>
      </c>
      <c r="I59" s="14"/>
    </row>
    <row r="60" spans="1:9" ht="28.8" x14ac:dyDescent="0.3">
      <c r="A60" s="13"/>
      <c r="B60" s="14" t="s">
        <v>122</v>
      </c>
      <c r="C60" s="15">
        <v>3</v>
      </c>
      <c r="D60" s="13" t="s">
        <v>11</v>
      </c>
      <c r="E60" s="13"/>
      <c r="F60" s="13"/>
      <c r="G60" s="13" t="s">
        <v>12</v>
      </c>
      <c r="H60" s="13" t="s">
        <v>20</v>
      </c>
      <c r="I60" s="14" t="s">
        <v>123</v>
      </c>
    </row>
    <row r="61" spans="1:9" x14ac:dyDescent="0.3">
      <c r="A61" s="13"/>
      <c r="B61" s="14" t="s">
        <v>124</v>
      </c>
      <c r="C61" s="15">
        <v>6</v>
      </c>
      <c r="D61" s="13" t="s">
        <v>11</v>
      </c>
      <c r="E61" s="13"/>
      <c r="F61" s="13"/>
      <c r="G61" s="13" t="s">
        <v>12</v>
      </c>
      <c r="H61" s="13" t="s">
        <v>20</v>
      </c>
      <c r="I61" s="14" t="s">
        <v>125</v>
      </c>
    </row>
    <row r="62" spans="1:9" x14ac:dyDescent="0.3">
      <c r="A62" s="10"/>
      <c r="B62" s="11" t="s">
        <v>126</v>
      </c>
      <c r="C62" s="12">
        <v>8.5</v>
      </c>
      <c r="D62" s="10" t="s">
        <v>11</v>
      </c>
      <c r="E62" s="10"/>
      <c r="F62" s="10"/>
      <c r="G62" s="10" t="s">
        <v>41</v>
      </c>
      <c r="H62" s="10" t="s">
        <v>20</v>
      </c>
      <c r="I62" s="11" t="s">
        <v>127</v>
      </c>
    </row>
    <row r="63" spans="1:9" ht="28.8" x14ac:dyDescent="0.3">
      <c r="A63" s="10"/>
      <c r="B63" s="11" t="s">
        <v>128</v>
      </c>
      <c r="C63" s="12">
        <v>2</v>
      </c>
      <c r="D63" s="10" t="s">
        <v>11</v>
      </c>
      <c r="E63" s="10"/>
      <c r="F63" s="10"/>
      <c r="G63" s="10" t="s">
        <v>41</v>
      </c>
      <c r="H63" s="10" t="s">
        <v>20</v>
      </c>
      <c r="I63" s="11" t="s">
        <v>129</v>
      </c>
    </row>
    <row r="64" spans="1:9" x14ac:dyDescent="0.3">
      <c r="A64" s="13"/>
      <c r="B64" s="14" t="s">
        <v>130</v>
      </c>
      <c r="C64" s="15">
        <v>6</v>
      </c>
      <c r="D64" s="13" t="s">
        <v>11</v>
      </c>
      <c r="E64" s="13"/>
      <c r="F64" s="13"/>
      <c r="G64" s="13" t="s">
        <v>12</v>
      </c>
      <c r="H64" s="13" t="s">
        <v>20</v>
      </c>
      <c r="I64" s="14"/>
    </row>
    <row r="65" spans="1:9" x14ac:dyDescent="0.3">
      <c r="A65" s="13"/>
      <c r="B65" s="14" t="s">
        <v>131</v>
      </c>
      <c r="C65" s="15">
        <v>6</v>
      </c>
      <c r="D65" s="13" t="s">
        <v>11</v>
      </c>
      <c r="E65" s="13"/>
      <c r="F65" s="13"/>
      <c r="G65" s="13" t="s">
        <v>12</v>
      </c>
      <c r="H65" s="13" t="s">
        <v>20</v>
      </c>
      <c r="I65" s="14"/>
    </row>
    <row r="66" spans="1:9" x14ac:dyDescent="0.3">
      <c r="A66" s="13"/>
      <c r="B66" s="14" t="s">
        <v>132</v>
      </c>
      <c r="C66" s="15">
        <v>12</v>
      </c>
      <c r="D66" s="13" t="s">
        <v>11</v>
      </c>
      <c r="E66" s="13"/>
      <c r="F66" s="13"/>
      <c r="G66" s="13" t="s">
        <v>12</v>
      </c>
      <c r="H66" s="13" t="s">
        <v>20</v>
      </c>
      <c r="I66" s="14" t="s">
        <v>133</v>
      </c>
    </row>
    <row r="67" spans="1:9" x14ac:dyDescent="0.3">
      <c r="A67" s="13"/>
      <c r="B67" s="14" t="s">
        <v>134</v>
      </c>
      <c r="C67" s="15">
        <v>18</v>
      </c>
      <c r="D67" s="13" t="s">
        <v>11</v>
      </c>
      <c r="E67" s="13"/>
      <c r="F67" s="13"/>
      <c r="G67" s="13" t="s">
        <v>12</v>
      </c>
      <c r="H67" s="13" t="s">
        <v>20</v>
      </c>
      <c r="I67" s="14" t="s">
        <v>135</v>
      </c>
    </row>
    <row r="68" spans="1:9" ht="18" customHeight="1" x14ac:dyDescent="0.3">
      <c r="A68" s="2" t="s">
        <v>136</v>
      </c>
      <c r="B68" s="3"/>
      <c r="C68" s="3"/>
      <c r="D68" s="3"/>
      <c r="E68" s="3"/>
      <c r="F68" s="3"/>
      <c r="G68" s="3"/>
      <c r="H68" s="3"/>
      <c r="I68" s="3"/>
    </row>
    <row r="69" spans="1:9" x14ac:dyDescent="0.3">
      <c r="A69" s="16"/>
      <c r="B69" s="17" t="s">
        <v>137</v>
      </c>
      <c r="C69" s="18">
        <v>87.14</v>
      </c>
      <c r="D69" s="16" t="s">
        <v>11</v>
      </c>
      <c r="E69" s="16"/>
      <c r="F69" s="16"/>
      <c r="G69" s="16" t="s">
        <v>28</v>
      </c>
      <c r="H69" s="16" t="s">
        <v>20</v>
      </c>
      <c r="I69" s="17" t="s">
        <v>138</v>
      </c>
    </row>
    <row r="70" spans="1:9" ht="57.6" x14ac:dyDescent="0.3">
      <c r="A70" s="10"/>
      <c r="B70" s="11" t="s">
        <v>137</v>
      </c>
      <c r="C70" s="12">
        <v>126</v>
      </c>
      <c r="D70" s="10" t="s">
        <v>11</v>
      </c>
      <c r="E70" s="10"/>
      <c r="F70" s="10"/>
      <c r="G70" s="10" t="s">
        <v>12</v>
      </c>
      <c r="H70" s="10" t="s">
        <v>20</v>
      </c>
      <c r="I70" s="11" t="s">
        <v>139</v>
      </c>
    </row>
    <row r="71" spans="1:9" ht="28.8" x14ac:dyDescent="0.3">
      <c r="A71" s="16"/>
      <c r="B71" s="17" t="s">
        <v>137</v>
      </c>
      <c r="C71" s="18">
        <v>72</v>
      </c>
      <c r="D71" s="16" t="s">
        <v>11</v>
      </c>
      <c r="E71" s="16"/>
      <c r="F71" s="16"/>
      <c r="G71" s="16" t="s">
        <v>12</v>
      </c>
      <c r="H71" s="16" t="s">
        <v>20</v>
      </c>
      <c r="I71" s="17" t="s">
        <v>140</v>
      </c>
    </row>
    <row r="72" spans="1:9" ht="43.2" x14ac:dyDescent="0.3">
      <c r="A72" s="16"/>
      <c r="B72" s="17" t="s">
        <v>141</v>
      </c>
      <c r="C72" s="18">
        <v>4</v>
      </c>
      <c r="D72" s="16" t="s">
        <v>46</v>
      </c>
      <c r="E72" s="16"/>
      <c r="F72" s="16"/>
      <c r="G72" s="16" t="s">
        <v>12</v>
      </c>
      <c r="H72" s="16" t="s">
        <v>20</v>
      </c>
      <c r="I72" s="17" t="s">
        <v>142</v>
      </c>
    </row>
    <row r="73" spans="1:9" ht="28.8" x14ac:dyDescent="0.3">
      <c r="A73" s="16"/>
      <c r="B73" s="17" t="s">
        <v>143</v>
      </c>
      <c r="C73" s="18">
        <v>9.6</v>
      </c>
      <c r="D73" s="16" t="s">
        <v>11</v>
      </c>
      <c r="E73" s="16"/>
      <c r="F73" s="16"/>
      <c r="G73" s="16" t="s">
        <v>12</v>
      </c>
      <c r="H73" s="16" t="s">
        <v>76</v>
      </c>
      <c r="I73" s="17" t="s">
        <v>144</v>
      </c>
    </row>
    <row r="74" spans="1:9" ht="28.8" x14ac:dyDescent="0.3">
      <c r="A74" s="16"/>
      <c r="B74" s="17" t="s">
        <v>137</v>
      </c>
      <c r="C74" s="18">
        <v>768</v>
      </c>
      <c r="D74" s="16" t="s">
        <v>11</v>
      </c>
      <c r="E74" s="16"/>
      <c r="F74" s="16"/>
      <c r="G74" s="16" t="s">
        <v>12</v>
      </c>
      <c r="H74" s="16" t="s">
        <v>20</v>
      </c>
      <c r="I74" s="17" t="s">
        <v>145</v>
      </c>
    </row>
    <row r="75" spans="1:9" ht="28.8" x14ac:dyDescent="0.3">
      <c r="A75" s="16"/>
      <c r="B75" s="17" t="s">
        <v>146</v>
      </c>
      <c r="C75" s="18">
        <v>1536</v>
      </c>
      <c r="D75" s="16" t="s">
        <v>11</v>
      </c>
      <c r="E75" s="16"/>
      <c r="F75" s="16"/>
      <c r="G75" s="16" t="s">
        <v>41</v>
      </c>
      <c r="H75" s="16" t="s">
        <v>147</v>
      </c>
      <c r="I75" s="17" t="s">
        <v>148</v>
      </c>
    </row>
    <row r="76" spans="1:9" ht="28.8" x14ac:dyDescent="0.3">
      <c r="A76" s="16"/>
      <c r="B76" s="17" t="s">
        <v>149</v>
      </c>
      <c r="C76" s="18">
        <v>96.77</v>
      </c>
      <c r="D76" s="16" t="s">
        <v>11</v>
      </c>
      <c r="E76" s="16"/>
      <c r="F76" s="16"/>
      <c r="G76" s="16" t="s">
        <v>12</v>
      </c>
      <c r="H76" s="16" t="s">
        <v>20</v>
      </c>
      <c r="I76" s="17" t="s">
        <v>150</v>
      </c>
    </row>
    <row r="77" spans="1:9" x14ac:dyDescent="0.3">
      <c r="A77" s="16"/>
      <c r="B77" s="17" t="s">
        <v>151</v>
      </c>
      <c r="C77" s="18">
        <v>21.6</v>
      </c>
      <c r="D77" s="16" t="s">
        <v>27</v>
      </c>
      <c r="E77" s="16"/>
      <c r="F77" s="16"/>
      <c r="G77" s="16" t="s">
        <v>28</v>
      </c>
      <c r="H77" s="16" t="s">
        <v>20</v>
      </c>
      <c r="I77" s="17"/>
    </row>
    <row r="78" spans="1:9" ht="43.2" x14ac:dyDescent="0.3">
      <c r="A78" s="10"/>
      <c r="B78" s="11" t="s">
        <v>152</v>
      </c>
      <c r="C78" s="12">
        <v>0</v>
      </c>
      <c r="D78" s="10" t="s">
        <v>71</v>
      </c>
      <c r="E78" s="10"/>
      <c r="F78" s="10"/>
      <c r="G78" s="10" t="s">
        <v>41</v>
      </c>
      <c r="H78" s="10" t="s">
        <v>72</v>
      </c>
      <c r="I78" s="11" t="s">
        <v>153</v>
      </c>
    </row>
    <row r="79" spans="1:9" ht="18" customHeight="1" x14ac:dyDescent="0.3">
      <c r="A79" s="2" t="s">
        <v>154</v>
      </c>
      <c r="B79" s="3"/>
      <c r="C79" s="3"/>
      <c r="D79" s="3"/>
      <c r="E79" s="3"/>
      <c r="F79" s="3"/>
      <c r="G79" s="3"/>
      <c r="H79" s="3"/>
      <c r="I79" s="3"/>
    </row>
    <row r="80" spans="1:9" x14ac:dyDescent="0.3">
      <c r="A80" s="19"/>
      <c r="B80" s="20" t="s">
        <v>155</v>
      </c>
      <c r="C80" s="21">
        <v>1</v>
      </c>
      <c r="D80" s="19" t="s">
        <v>27</v>
      </c>
      <c r="E80" s="19"/>
      <c r="F80" s="19"/>
      <c r="G80" s="19" t="s">
        <v>28</v>
      </c>
      <c r="H80" s="19" t="s">
        <v>156</v>
      </c>
      <c r="I80" s="20" t="s">
        <v>157</v>
      </c>
    </row>
    <row r="81" spans="1:9" x14ac:dyDescent="0.3">
      <c r="A81" s="19"/>
      <c r="B81" s="20" t="s">
        <v>158</v>
      </c>
      <c r="C81" s="21">
        <v>4</v>
      </c>
      <c r="D81" s="19" t="s">
        <v>27</v>
      </c>
      <c r="E81" s="19"/>
      <c r="F81" s="19"/>
      <c r="G81" s="19" t="s">
        <v>28</v>
      </c>
      <c r="H81" s="19" t="s">
        <v>156</v>
      </c>
      <c r="I81" s="20" t="s">
        <v>157</v>
      </c>
    </row>
    <row r="82" spans="1:9" x14ac:dyDescent="0.3">
      <c r="A82" s="19"/>
      <c r="B82" s="20" t="s">
        <v>159</v>
      </c>
      <c r="C82" s="21">
        <v>1</v>
      </c>
      <c r="D82" s="19" t="s">
        <v>27</v>
      </c>
      <c r="E82" s="19"/>
      <c r="F82" s="19"/>
      <c r="G82" s="19" t="s">
        <v>28</v>
      </c>
      <c r="H82" s="19" t="s">
        <v>156</v>
      </c>
      <c r="I82" s="20" t="s">
        <v>157</v>
      </c>
    </row>
    <row r="83" spans="1:9" ht="28.8" x14ac:dyDescent="0.3">
      <c r="A83" s="19"/>
      <c r="B83" s="20" t="s">
        <v>160</v>
      </c>
      <c r="C83" s="21">
        <v>5.52</v>
      </c>
      <c r="D83" s="19" t="s">
        <v>11</v>
      </c>
      <c r="E83" s="19"/>
      <c r="F83" s="19"/>
      <c r="G83" s="19" t="s">
        <v>12</v>
      </c>
      <c r="H83" s="19" t="s">
        <v>156</v>
      </c>
      <c r="I83" s="20" t="s">
        <v>161</v>
      </c>
    </row>
    <row r="84" spans="1:9" ht="28.8" x14ac:dyDescent="0.3">
      <c r="A84" s="19"/>
      <c r="B84" s="20" t="s">
        <v>162</v>
      </c>
      <c r="C84" s="21">
        <v>5.52</v>
      </c>
      <c r="D84" s="19" t="s">
        <v>11</v>
      </c>
      <c r="E84" s="19"/>
      <c r="F84" s="19"/>
      <c r="G84" s="19" t="s">
        <v>12</v>
      </c>
      <c r="H84" s="19" t="s">
        <v>156</v>
      </c>
      <c r="I84" s="20" t="s">
        <v>163</v>
      </c>
    </row>
    <row r="85" spans="1:9" x14ac:dyDescent="0.3">
      <c r="A85" s="19"/>
      <c r="B85" s="20" t="s">
        <v>164</v>
      </c>
      <c r="C85" s="21">
        <v>1</v>
      </c>
      <c r="D85" s="19" t="s">
        <v>11</v>
      </c>
      <c r="E85" s="19"/>
      <c r="F85" s="19"/>
      <c r="G85" s="19" t="s">
        <v>28</v>
      </c>
      <c r="H85" s="19" t="s">
        <v>156</v>
      </c>
      <c r="I85" s="20" t="s">
        <v>165</v>
      </c>
    </row>
    <row r="86" spans="1:9" x14ac:dyDescent="0.3">
      <c r="A86" s="19"/>
      <c r="B86" s="20" t="s">
        <v>166</v>
      </c>
      <c r="C86" s="21">
        <v>1</v>
      </c>
      <c r="D86" s="19" t="s">
        <v>11</v>
      </c>
      <c r="E86" s="19"/>
      <c r="F86" s="19"/>
      <c r="G86" s="19" t="s">
        <v>28</v>
      </c>
      <c r="H86" s="19" t="s">
        <v>156</v>
      </c>
      <c r="I86" s="20" t="s">
        <v>165</v>
      </c>
    </row>
    <row r="87" spans="1:9" x14ac:dyDescent="0.3">
      <c r="A87" s="19"/>
      <c r="B87" s="20" t="s">
        <v>167</v>
      </c>
      <c r="C87" s="21">
        <v>3</v>
      </c>
      <c r="D87" s="19" t="s">
        <v>11</v>
      </c>
      <c r="E87" s="19"/>
      <c r="F87" s="19"/>
      <c r="G87" s="19" t="s">
        <v>12</v>
      </c>
      <c r="H87" s="19" t="s">
        <v>156</v>
      </c>
      <c r="I87" s="20" t="s">
        <v>168</v>
      </c>
    </row>
    <row r="88" spans="1:9" x14ac:dyDescent="0.3">
      <c r="A88" s="19"/>
      <c r="B88" s="20" t="s">
        <v>169</v>
      </c>
      <c r="C88" s="21">
        <v>1</v>
      </c>
      <c r="D88" s="19" t="s">
        <v>11</v>
      </c>
      <c r="E88" s="19"/>
      <c r="F88" s="19"/>
      <c r="G88" s="19" t="s">
        <v>28</v>
      </c>
      <c r="H88" s="19" t="s">
        <v>156</v>
      </c>
      <c r="I88" s="20" t="s">
        <v>165</v>
      </c>
    </row>
    <row r="89" spans="1:9" x14ac:dyDescent="0.3">
      <c r="A89" s="19"/>
      <c r="B89" s="20" t="s">
        <v>170</v>
      </c>
      <c r="C89" s="21">
        <v>1</v>
      </c>
      <c r="D89" s="19" t="s">
        <v>11</v>
      </c>
      <c r="E89" s="19"/>
      <c r="F89" s="19"/>
      <c r="G89" s="19" t="s">
        <v>28</v>
      </c>
      <c r="H89" s="19" t="s">
        <v>156</v>
      </c>
      <c r="I89" s="20" t="s">
        <v>165</v>
      </c>
    </row>
    <row r="90" spans="1:9" x14ac:dyDescent="0.3">
      <c r="A90" s="19"/>
      <c r="B90" s="20" t="s">
        <v>164</v>
      </c>
      <c r="C90" s="21">
        <v>4</v>
      </c>
      <c r="D90" s="19" t="s">
        <v>11</v>
      </c>
      <c r="E90" s="19"/>
      <c r="F90" s="19"/>
      <c r="G90" s="19" t="s">
        <v>28</v>
      </c>
      <c r="H90" s="19" t="s">
        <v>156</v>
      </c>
      <c r="I90" s="20" t="s">
        <v>171</v>
      </c>
    </row>
    <row r="91" spans="1:9" x14ac:dyDescent="0.3">
      <c r="A91" s="19"/>
      <c r="B91" s="20" t="s">
        <v>166</v>
      </c>
      <c r="C91" s="21">
        <v>4</v>
      </c>
      <c r="D91" s="19" t="s">
        <v>11</v>
      </c>
      <c r="E91" s="19"/>
      <c r="F91" s="19"/>
      <c r="G91" s="19" t="s">
        <v>28</v>
      </c>
      <c r="H91" s="19" t="s">
        <v>156</v>
      </c>
      <c r="I91" s="20" t="s">
        <v>171</v>
      </c>
    </row>
    <row r="92" spans="1:9" x14ac:dyDescent="0.3">
      <c r="A92" s="19"/>
      <c r="B92" s="20" t="s">
        <v>167</v>
      </c>
      <c r="C92" s="21">
        <v>12</v>
      </c>
      <c r="D92" s="19" t="s">
        <v>11</v>
      </c>
      <c r="E92" s="19"/>
      <c r="F92" s="19"/>
      <c r="G92" s="19" t="s">
        <v>12</v>
      </c>
      <c r="H92" s="19" t="s">
        <v>156</v>
      </c>
      <c r="I92" s="20" t="s">
        <v>172</v>
      </c>
    </row>
    <row r="93" spans="1:9" x14ac:dyDescent="0.3">
      <c r="A93" s="19"/>
      <c r="B93" s="20" t="s">
        <v>169</v>
      </c>
      <c r="C93" s="21">
        <v>4</v>
      </c>
      <c r="D93" s="19" t="s">
        <v>11</v>
      </c>
      <c r="E93" s="19"/>
      <c r="F93" s="19"/>
      <c r="G93" s="19" t="s">
        <v>28</v>
      </c>
      <c r="H93" s="19" t="s">
        <v>156</v>
      </c>
      <c r="I93" s="20" t="s">
        <v>171</v>
      </c>
    </row>
    <row r="94" spans="1:9" x14ac:dyDescent="0.3">
      <c r="A94" s="19"/>
      <c r="B94" s="20" t="s">
        <v>170</v>
      </c>
      <c r="C94" s="21">
        <v>4</v>
      </c>
      <c r="D94" s="19" t="s">
        <v>11</v>
      </c>
      <c r="E94" s="19"/>
      <c r="F94" s="19"/>
      <c r="G94" s="19" t="s">
        <v>28</v>
      </c>
      <c r="H94" s="19" t="s">
        <v>156</v>
      </c>
      <c r="I94" s="20" t="s">
        <v>171</v>
      </c>
    </row>
    <row r="95" spans="1:9" x14ac:dyDescent="0.3">
      <c r="A95" s="19"/>
      <c r="B95" s="20" t="s">
        <v>164</v>
      </c>
      <c r="C95" s="21">
        <v>1</v>
      </c>
      <c r="D95" s="19" t="s">
        <v>11</v>
      </c>
      <c r="E95" s="19"/>
      <c r="F95" s="19"/>
      <c r="G95" s="19" t="s">
        <v>28</v>
      </c>
      <c r="H95" s="19" t="s">
        <v>156</v>
      </c>
      <c r="I95" s="20" t="s">
        <v>173</v>
      </c>
    </row>
    <row r="96" spans="1:9" x14ac:dyDescent="0.3">
      <c r="A96" s="19"/>
      <c r="B96" s="20" t="s">
        <v>166</v>
      </c>
      <c r="C96" s="21">
        <v>1</v>
      </c>
      <c r="D96" s="19" t="s">
        <v>11</v>
      </c>
      <c r="E96" s="19"/>
      <c r="F96" s="19"/>
      <c r="G96" s="19" t="s">
        <v>28</v>
      </c>
      <c r="H96" s="19" t="s">
        <v>156</v>
      </c>
      <c r="I96" s="20" t="s">
        <v>173</v>
      </c>
    </row>
    <row r="97" spans="1:9" x14ac:dyDescent="0.3">
      <c r="A97" s="19"/>
      <c r="B97" s="20" t="s">
        <v>167</v>
      </c>
      <c r="C97" s="21">
        <v>3</v>
      </c>
      <c r="D97" s="19" t="s">
        <v>11</v>
      </c>
      <c r="E97" s="19"/>
      <c r="F97" s="19"/>
      <c r="G97" s="19" t="s">
        <v>12</v>
      </c>
      <c r="H97" s="19" t="s">
        <v>156</v>
      </c>
      <c r="I97" s="20" t="s">
        <v>174</v>
      </c>
    </row>
    <row r="98" spans="1:9" x14ac:dyDescent="0.3">
      <c r="A98" s="19"/>
      <c r="B98" s="20" t="s">
        <v>169</v>
      </c>
      <c r="C98" s="21">
        <v>1</v>
      </c>
      <c r="D98" s="19" t="s">
        <v>11</v>
      </c>
      <c r="E98" s="19"/>
      <c r="F98" s="19"/>
      <c r="G98" s="19" t="s">
        <v>28</v>
      </c>
      <c r="H98" s="19" t="s">
        <v>156</v>
      </c>
      <c r="I98" s="20" t="s">
        <v>173</v>
      </c>
    </row>
    <row r="99" spans="1:9" x14ac:dyDescent="0.3">
      <c r="A99" s="19"/>
      <c r="B99" s="20" t="s">
        <v>170</v>
      </c>
      <c r="C99" s="21">
        <v>1</v>
      </c>
      <c r="D99" s="19" t="s">
        <v>11</v>
      </c>
      <c r="E99" s="19"/>
      <c r="F99" s="19"/>
      <c r="G99" s="19" t="s">
        <v>28</v>
      </c>
      <c r="H99" s="19" t="s">
        <v>156</v>
      </c>
      <c r="I99" s="20" t="s">
        <v>173</v>
      </c>
    </row>
    <row r="100" spans="1:9" x14ac:dyDescent="0.3">
      <c r="A100" s="19"/>
      <c r="B100" s="20" t="s">
        <v>175</v>
      </c>
      <c r="C100" s="21">
        <v>8</v>
      </c>
      <c r="D100" s="19" t="s">
        <v>27</v>
      </c>
      <c r="E100" s="19"/>
      <c r="F100" s="19"/>
      <c r="G100" s="19" t="s">
        <v>12</v>
      </c>
      <c r="H100" s="19" t="s">
        <v>156</v>
      </c>
      <c r="I100" s="20" t="s">
        <v>176</v>
      </c>
    </row>
    <row r="101" spans="1:9" x14ac:dyDescent="0.3">
      <c r="A101" s="19"/>
      <c r="B101" s="20" t="s">
        <v>177</v>
      </c>
      <c r="C101" s="21">
        <v>2</v>
      </c>
      <c r="D101" s="19" t="s">
        <v>27</v>
      </c>
      <c r="E101" s="19"/>
      <c r="F101" s="19"/>
      <c r="G101" s="19" t="s">
        <v>12</v>
      </c>
      <c r="H101" s="19" t="s">
        <v>156</v>
      </c>
      <c r="I101" s="20" t="s">
        <v>176</v>
      </c>
    </row>
    <row r="102" spans="1:9" x14ac:dyDescent="0.3">
      <c r="A102" s="19"/>
      <c r="B102" s="20" t="s">
        <v>178</v>
      </c>
      <c r="C102" s="21">
        <v>1</v>
      </c>
      <c r="D102" s="19" t="s">
        <v>27</v>
      </c>
      <c r="E102" s="19"/>
      <c r="F102" s="19"/>
      <c r="G102" s="19" t="s">
        <v>12</v>
      </c>
      <c r="H102" s="19" t="s">
        <v>156</v>
      </c>
      <c r="I102" s="20" t="s">
        <v>176</v>
      </c>
    </row>
    <row r="103" spans="1:9" ht="28.8" x14ac:dyDescent="0.3">
      <c r="A103" s="19"/>
      <c r="B103" s="20" t="s">
        <v>179</v>
      </c>
      <c r="C103" s="21">
        <v>9.44</v>
      </c>
      <c r="D103" s="19" t="s">
        <v>11</v>
      </c>
      <c r="E103" s="19"/>
      <c r="F103" s="19"/>
      <c r="G103" s="19" t="s">
        <v>12</v>
      </c>
      <c r="H103" s="19" t="s">
        <v>156</v>
      </c>
      <c r="I103" s="20" t="s">
        <v>180</v>
      </c>
    </row>
    <row r="104" spans="1:9" ht="28.8" x14ac:dyDescent="0.3">
      <c r="A104" s="19"/>
      <c r="B104" s="20" t="s">
        <v>181</v>
      </c>
      <c r="C104" s="21">
        <v>9.44</v>
      </c>
      <c r="D104" s="19" t="s">
        <v>11</v>
      </c>
      <c r="E104" s="19"/>
      <c r="F104" s="19"/>
      <c r="G104" s="19" t="s">
        <v>12</v>
      </c>
      <c r="H104" s="19" t="s">
        <v>156</v>
      </c>
      <c r="I104" s="20" t="s">
        <v>182</v>
      </c>
    </row>
    <row r="105" spans="1:9" ht="57.6" x14ac:dyDescent="0.3">
      <c r="A105" s="10"/>
      <c r="B105" s="11" t="s">
        <v>183</v>
      </c>
      <c r="C105" s="12">
        <v>64</v>
      </c>
      <c r="D105" s="10" t="s">
        <v>11</v>
      </c>
      <c r="E105" s="10"/>
      <c r="F105" s="10"/>
      <c r="G105" s="10" t="s">
        <v>41</v>
      </c>
      <c r="H105" s="10" t="s">
        <v>156</v>
      </c>
      <c r="I105" s="11" t="s">
        <v>184</v>
      </c>
    </row>
    <row r="106" spans="1:9" ht="28.8" x14ac:dyDescent="0.3">
      <c r="A106" s="19"/>
      <c r="B106" s="20" t="s">
        <v>179</v>
      </c>
      <c r="C106" s="21">
        <v>1.8</v>
      </c>
      <c r="D106" s="19" t="s">
        <v>11</v>
      </c>
      <c r="E106" s="19"/>
      <c r="F106" s="19"/>
      <c r="G106" s="19" t="s">
        <v>12</v>
      </c>
      <c r="H106" s="19" t="s">
        <v>156</v>
      </c>
      <c r="I106" s="20" t="s">
        <v>180</v>
      </c>
    </row>
    <row r="107" spans="1:9" ht="28.8" x14ac:dyDescent="0.3">
      <c r="A107" s="19"/>
      <c r="B107" s="20" t="s">
        <v>181</v>
      </c>
      <c r="C107" s="21">
        <v>1.8</v>
      </c>
      <c r="D107" s="19" t="s">
        <v>11</v>
      </c>
      <c r="E107" s="19"/>
      <c r="F107" s="19"/>
      <c r="G107" s="19" t="s">
        <v>12</v>
      </c>
      <c r="H107" s="19" t="s">
        <v>156</v>
      </c>
      <c r="I107" s="20" t="s">
        <v>182</v>
      </c>
    </row>
    <row r="108" spans="1:9" ht="57.6" x14ac:dyDescent="0.3">
      <c r="A108" s="10"/>
      <c r="B108" s="11" t="s">
        <v>185</v>
      </c>
      <c r="C108" s="12">
        <v>16</v>
      </c>
      <c r="D108" s="10" t="s">
        <v>11</v>
      </c>
      <c r="E108" s="10"/>
      <c r="F108" s="10"/>
      <c r="G108" s="10" t="s">
        <v>41</v>
      </c>
      <c r="H108" s="10" t="s">
        <v>156</v>
      </c>
      <c r="I108" s="11" t="s">
        <v>184</v>
      </c>
    </row>
    <row r="109" spans="1:9" ht="28.8" x14ac:dyDescent="0.3">
      <c r="A109" s="19"/>
      <c r="B109" s="20" t="s">
        <v>179</v>
      </c>
      <c r="C109" s="21">
        <v>1.95</v>
      </c>
      <c r="D109" s="19" t="s">
        <v>11</v>
      </c>
      <c r="E109" s="19"/>
      <c r="F109" s="19"/>
      <c r="G109" s="19" t="s">
        <v>12</v>
      </c>
      <c r="H109" s="19" t="s">
        <v>156</v>
      </c>
      <c r="I109" s="20" t="s">
        <v>180</v>
      </c>
    </row>
    <row r="110" spans="1:9" ht="28.8" x14ac:dyDescent="0.3">
      <c r="A110" s="19"/>
      <c r="B110" s="20" t="s">
        <v>181</v>
      </c>
      <c r="C110" s="21">
        <v>1.95</v>
      </c>
      <c r="D110" s="19" t="s">
        <v>11</v>
      </c>
      <c r="E110" s="19"/>
      <c r="F110" s="19"/>
      <c r="G110" s="19" t="s">
        <v>12</v>
      </c>
      <c r="H110" s="19" t="s">
        <v>156</v>
      </c>
      <c r="I110" s="20" t="s">
        <v>182</v>
      </c>
    </row>
    <row r="111" spans="1:9" ht="57.6" x14ac:dyDescent="0.3">
      <c r="A111" s="10"/>
      <c r="B111" s="11" t="s">
        <v>186</v>
      </c>
      <c r="C111" s="12">
        <v>8</v>
      </c>
      <c r="D111" s="10" t="s">
        <v>11</v>
      </c>
      <c r="E111" s="10"/>
      <c r="F111" s="10"/>
      <c r="G111" s="10" t="s">
        <v>41</v>
      </c>
      <c r="H111" s="10" t="s">
        <v>156</v>
      </c>
      <c r="I111" s="11" t="s">
        <v>184</v>
      </c>
    </row>
    <row r="112" spans="1:9" x14ac:dyDescent="0.3">
      <c r="A112" s="19"/>
      <c r="B112" s="20" t="s">
        <v>187</v>
      </c>
      <c r="C112" s="21">
        <v>8</v>
      </c>
      <c r="D112" s="19" t="s">
        <v>11</v>
      </c>
      <c r="E112" s="19"/>
      <c r="F112" s="19"/>
      <c r="G112" s="19" t="s">
        <v>12</v>
      </c>
      <c r="H112" s="19" t="s">
        <v>156</v>
      </c>
      <c r="I112" s="20" t="s">
        <v>188</v>
      </c>
    </row>
    <row r="113" spans="1:9" x14ac:dyDescent="0.3">
      <c r="A113" s="19"/>
      <c r="B113" s="20" t="s">
        <v>189</v>
      </c>
      <c r="C113" s="21">
        <v>8</v>
      </c>
      <c r="D113" s="19" t="s">
        <v>11</v>
      </c>
      <c r="E113" s="19"/>
      <c r="F113" s="19"/>
      <c r="G113" s="19" t="s">
        <v>12</v>
      </c>
      <c r="H113" s="19" t="s">
        <v>156</v>
      </c>
      <c r="I113" s="20" t="s">
        <v>188</v>
      </c>
    </row>
    <row r="114" spans="1:9" x14ac:dyDescent="0.3">
      <c r="A114" s="19"/>
      <c r="B114" s="20" t="s">
        <v>190</v>
      </c>
      <c r="C114" s="21">
        <v>8</v>
      </c>
      <c r="D114" s="19" t="s">
        <v>11</v>
      </c>
      <c r="E114" s="19"/>
      <c r="F114" s="19"/>
      <c r="G114" s="19" t="s">
        <v>12</v>
      </c>
      <c r="H114" s="19" t="s">
        <v>156</v>
      </c>
      <c r="I114" s="20" t="s">
        <v>188</v>
      </c>
    </row>
    <row r="115" spans="1:9" x14ac:dyDescent="0.3">
      <c r="A115" s="19"/>
      <c r="B115" s="20" t="s">
        <v>187</v>
      </c>
      <c r="C115" s="21">
        <v>2</v>
      </c>
      <c r="D115" s="19" t="s">
        <v>11</v>
      </c>
      <c r="E115" s="19"/>
      <c r="F115" s="19"/>
      <c r="G115" s="19" t="s">
        <v>12</v>
      </c>
      <c r="H115" s="19" t="s">
        <v>156</v>
      </c>
      <c r="I115" s="20" t="s">
        <v>191</v>
      </c>
    </row>
    <row r="116" spans="1:9" x14ac:dyDescent="0.3">
      <c r="A116" s="19"/>
      <c r="B116" s="20" t="s">
        <v>189</v>
      </c>
      <c r="C116" s="21">
        <v>2</v>
      </c>
      <c r="D116" s="19" t="s">
        <v>11</v>
      </c>
      <c r="E116" s="19"/>
      <c r="F116" s="19"/>
      <c r="G116" s="19" t="s">
        <v>12</v>
      </c>
      <c r="H116" s="19" t="s">
        <v>156</v>
      </c>
      <c r="I116" s="20" t="s">
        <v>191</v>
      </c>
    </row>
    <row r="117" spans="1:9" x14ac:dyDescent="0.3">
      <c r="A117" s="19"/>
      <c r="B117" s="20" t="s">
        <v>190</v>
      </c>
      <c r="C117" s="21">
        <v>2</v>
      </c>
      <c r="D117" s="19" t="s">
        <v>11</v>
      </c>
      <c r="E117" s="19"/>
      <c r="F117" s="19"/>
      <c r="G117" s="19" t="s">
        <v>12</v>
      </c>
      <c r="H117" s="19" t="s">
        <v>156</v>
      </c>
      <c r="I117" s="20" t="s">
        <v>191</v>
      </c>
    </row>
    <row r="118" spans="1:9" x14ac:dyDescent="0.3">
      <c r="A118" s="19"/>
      <c r="B118" s="20" t="s">
        <v>187</v>
      </c>
      <c r="C118" s="21">
        <v>1</v>
      </c>
      <c r="D118" s="19" t="s">
        <v>11</v>
      </c>
      <c r="E118" s="19"/>
      <c r="F118" s="19"/>
      <c r="G118" s="19" t="s">
        <v>12</v>
      </c>
      <c r="H118" s="19" t="s">
        <v>156</v>
      </c>
      <c r="I118" s="20" t="s">
        <v>192</v>
      </c>
    </row>
    <row r="119" spans="1:9" x14ac:dyDescent="0.3">
      <c r="A119" s="19"/>
      <c r="B119" s="20" t="s">
        <v>189</v>
      </c>
      <c r="C119" s="21">
        <v>1</v>
      </c>
      <c r="D119" s="19" t="s">
        <v>11</v>
      </c>
      <c r="E119" s="19"/>
      <c r="F119" s="19"/>
      <c r="G119" s="19" t="s">
        <v>12</v>
      </c>
      <c r="H119" s="19" t="s">
        <v>156</v>
      </c>
      <c r="I119" s="20" t="s">
        <v>192</v>
      </c>
    </row>
    <row r="120" spans="1:9" x14ac:dyDescent="0.3">
      <c r="A120" s="19"/>
      <c r="B120" s="20" t="s">
        <v>190</v>
      </c>
      <c r="C120" s="21">
        <v>1</v>
      </c>
      <c r="D120" s="19" t="s">
        <v>11</v>
      </c>
      <c r="E120" s="19"/>
      <c r="F120" s="19"/>
      <c r="G120" s="19" t="s">
        <v>12</v>
      </c>
      <c r="H120" s="19" t="s">
        <v>156</v>
      </c>
      <c r="I120" s="20" t="s">
        <v>192</v>
      </c>
    </row>
    <row r="121" spans="1:9" ht="72" x14ac:dyDescent="0.3">
      <c r="A121" s="10"/>
      <c r="B121" s="11" t="s">
        <v>193</v>
      </c>
      <c r="C121" s="12">
        <v>6.48</v>
      </c>
      <c r="D121" s="10" t="s">
        <v>11</v>
      </c>
      <c r="E121" s="10"/>
      <c r="F121" s="10"/>
      <c r="G121" s="10" t="s">
        <v>41</v>
      </c>
      <c r="H121" s="10" t="s">
        <v>156</v>
      </c>
      <c r="I121" s="11" t="s">
        <v>194</v>
      </c>
    </row>
    <row r="122" spans="1:9" ht="72" x14ac:dyDescent="0.3">
      <c r="A122" s="10"/>
      <c r="B122" s="11" t="s">
        <v>195</v>
      </c>
      <c r="C122" s="12">
        <v>1.2</v>
      </c>
      <c r="D122" s="10" t="s">
        <v>11</v>
      </c>
      <c r="E122" s="10"/>
      <c r="F122" s="10"/>
      <c r="G122" s="10" t="s">
        <v>41</v>
      </c>
      <c r="H122" s="10" t="s">
        <v>156</v>
      </c>
      <c r="I122" s="11" t="s">
        <v>196</v>
      </c>
    </row>
    <row r="123" spans="1:9" ht="72" x14ac:dyDescent="0.3">
      <c r="A123" s="10"/>
      <c r="B123" s="11" t="s">
        <v>197</v>
      </c>
      <c r="C123" s="12">
        <v>1.39</v>
      </c>
      <c r="D123" s="10" t="s">
        <v>11</v>
      </c>
      <c r="E123" s="10"/>
      <c r="F123" s="10"/>
      <c r="G123" s="10" t="s">
        <v>41</v>
      </c>
      <c r="H123" s="10" t="s">
        <v>156</v>
      </c>
      <c r="I123" s="11" t="s">
        <v>198</v>
      </c>
    </row>
    <row r="124" spans="1:9" ht="72" x14ac:dyDescent="0.3">
      <c r="A124" s="10"/>
      <c r="B124" s="11" t="s">
        <v>199</v>
      </c>
      <c r="C124" s="12">
        <v>1</v>
      </c>
      <c r="D124" s="10" t="s">
        <v>46</v>
      </c>
      <c r="E124" s="10"/>
      <c r="F124" s="10"/>
      <c r="G124" s="10" t="s">
        <v>12</v>
      </c>
      <c r="H124" s="10" t="s">
        <v>156</v>
      </c>
      <c r="I124" s="11" t="s">
        <v>200</v>
      </c>
    </row>
    <row r="125" spans="1:9" x14ac:dyDescent="0.3">
      <c r="A125" s="19"/>
      <c r="B125" s="20" t="s">
        <v>201</v>
      </c>
      <c r="C125" s="21">
        <v>36</v>
      </c>
      <c r="D125" s="19" t="s">
        <v>11</v>
      </c>
      <c r="E125" s="19"/>
      <c r="F125" s="19"/>
      <c r="G125" s="19" t="s">
        <v>12</v>
      </c>
      <c r="H125" s="19" t="s">
        <v>202</v>
      </c>
      <c r="I125" s="20"/>
    </row>
    <row r="126" spans="1:9" x14ac:dyDescent="0.3">
      <c r="A126" s="19"/>
      <c r="B126" s="20" t="s">
        <v>201</v>
      </c>
      <c r="C126" s="21">
        <v>52.8</v>
      </c>
      <c r="D126" s="19" t="s">
        <v>11</v>
      </c>
      <c r="E126" s="19"/>
      <c r="F126" s="19"/>
      <c r="G126" s="19" t="s">
        <v>12</v>
      </c>
      <c r="H126" s="19" t="s">
        <v>203</v>
      </c>
      <c r="I126" s="20"/>
    </row>
    <row r="127" spans="1:9" ht="18" customHeight="1" x14ac:dyDescent="0.3">
      <c r="A127" s="2" t="s">
        <v>204</v>
      </c>
      <c r="B127" s="3"/>
      <c r="C127" s="3"/>
      <c r="D127" s="3"/>
      <c r="E127" s="3"/>
      <c r="F127" s="3"/>
      <c r="G127" s="3"/>
      <c r="H127" s="3"/>
      <c r="I127" s="3"/>
    </row>
    <row r="128" spans="1:9" ht="100.8" x14ac:dyDescent="0.3">
      <c r="A128" s="22"/>
      <c r="B128" s="23" t="s">
        <v>205</v>
      </c>
      <c r="C128" s="24">
        <v>27</v>
      </c>
      <c r="D128" s="22" t="s">
        <v>11</v>
      </c>
      <c r="E128" s="22"/>
      <c r="F128" s="22"/>
      <c r="G128" s="22" t="s">
        <v>12</v>
      </c>
      <c r="H128" s="22" t="s">
        <v>20</v>
      </c>
      <c r="I128" s="23" t="s">
        <v>206</v>
      </c>
    </row>
    <row r="129" spans="1:9" x14ac:dyDescent="0.3">
      <c r="A129" s="22"/>
      <c r="B129" s="23" t="s">
        <v>207</v>
      </c>
      <c r="C129" s="24">
        <v>11</v>
      </c>
      <c r="D129" s="22" t="s">
        <v>11</v>
      </c>
      <c r="E129" s="22"/>
      <c r="F129" s="22"/>
      <c r="G129" s="22" t="s">
        <v>41</v>
      </c>
      <c r="H129" s="22" t="s">
        <v>208</v>
      </c>
      <c r="I129" s="23"/>
    </row>
    <row r="130" spans="1:9" ht="100.8" x14ac:dyDescent="0.3">
      <c r="A130" s="22"/>
      <c r="B130" s="23" t="s">
        <v>209</v>
      </c>
      <c r="C130" s="24">
        <v>41</v>
      </c>
      <c r="D130" s="22" t="s">
        <v>11</v>
      </c>
      <c r="E130" s="22"/>
      <c r="F130" s="22"/>
      <c r="G130" s="22" t="s">
        <v>28</v>
      </c>
      <c r="H130" s="22" t="s">
        <v>20</v>
      </c>
      <c r="I130" s="23" t="s">
        <v>210</v>
      </c>
    </row>
    <row r="131" spans="1:9" ht="100.8" x14ac:dyDescent="0.3">
      <c r="A131" s="22"/>
      <c r="B131" s="23" t="s">
        <v>211</v>
      </c>
      <c r="C131" s="24">
        <v>16</v>
      </c>
      <c r="D131" s="22" t="s">
        <v>11</v>
      </c>
      <c r="E131" s="22"/>
      <c r="F131" s="22"/>
      <c r="G131" s="22" t="s">
        <v>41</v>
      </c>
      <c r="H131" s="22" t="s">
        <v>212</v>
      </c>
      <c r="I131" s="23" t="s">
        <v>210</v>
      </c>
    </row>
    <row r="132" spans="1:9" ht="28.8" x14ac:dyDescent="0.3">
      <c r="A132" s="22"/>
      <c r="B132" s="23" t="s">
        <v>213</v>
      </c>
      <c r="C132" s="24">
        <v>117.6</v>
      </c>
      <c r="D132" s="22" t="s">
        <v>11</v>
      </c>
      <c r="E132" s="22"/>
      <c r="F132" s="22"/>
      <c r="G132" s="22" t="s">
        <v>41</v>
      </c>
      <c r="H132" s="22" t="s">
        <v>20</v>
      </c>
      <c r="I132" s="23" t="s">
        <v>214</v>
      </c>
    </row>
    <row r="133" spans="1:9" ht="43.2" x14ac:dyDescent="0.3">
      <c r="A133" s="10"/>
      <c r="B133" s="11" t="s">
        <v>215</v>
      </c>
      <c r="C133" s="12">
        <v>7</v>
      </c>
      <c r="D133" s="10" t="s">
        <v>46</v>
      </c>
      <c r="E133" s="10"/>
      <c r="F133" s="10"/>
      <c r="G133" s="10" t="s">
        <v>41</v>
      </c>
      <c r="H133" s="10" t="s">
        <v>216</v>
      </c>
      <c r="I133" s="11" t="s">
        <v>217</v>
      </c>
    </row>
    <row r="134" spans="1:9" x14ac:dyDescent="0.3">
      <c r="A134" s="22"/>
      <c r="B134" s="23" t="s">
        <v>218</v>
      </c>
      <c r="C134" s="24">
        <v>24</v>
      </c>
      <c r="D134" s="22" t="s">
        <v>11</v>
      </c>
      <c r="E134" s="22"/>
      <c r="F134" s="22"/>
      <c r="G134" s="22" t="s">
        <v>12</v>
      </c>
      <c r="H134" s="22" t="s">
        <v>76</v>
      </c>
      <c r="I134" s="23"/>
    </row>
    <row r="135" spans="1:9" x14ac:dyDescent="0.3">
      <c r="A135" s="22"/>
      <c r="B135" s="23" t="s">
        <v>40</v>
      </c>
      <c r="C135" s="24">
        <v>162</v>
      </c>
      <c r="D135" s="22" t="s">
        <v>11</v>
      </c>
      <c r="E135" s="22"/>
      <c r="F135" s="22"/>
      <c r="G135" s="22" t="s">
        <v>12</v>
      </c>
      <c r="H135" s="22" t="s">
        <v>76</v>
      </c>
      <c r="I135" s="23"/>
    </row>
    <row r="136" spans="1:9" x14ac:dyDescent="0.3">
      <c r="A136" s="22"/>
      <c r="B136" s="23" t="s">
        <v>219</v>
      </c>
      <c r="C136" s="24">
        <v>7</v>
      </c>
      <c r="D136" s="22" t="s">
        <v>11</v>
      </c>
      <c r="E136" s="22"/>
      <c r="F136" s="22"/>
      <c r="G136" s="22" t="s">
        <v>41</v>
      </c>
      <c r="H136" s="22" t="s">
        <v>220</v>
      </c>
      <c r="I136" s="23"/>
    </row>
    <row r="137" spans="1:9" ht="43.2" x14ac:dyDescent="0.3">
      <c r="A137" s="22"/>
      <c r="B137" s="23" t="s">
        <v>221</v>
      </c>
      <c r="C137" s="24">
        <v>8</v>
      </c>
      <c r="D137" s="22" t="s">
        <v>11</v>
      </c>
      <c r="E137" s="22"/>
      <c r="F137" s="22"/>
      <c r="G137" s="22" t="s">
        <v>28</v>
      </c>
      <c r="H137" s="22" t="s">
        <v>20</v>
      </c>
      <c r="I137" s="23" t="s">
        <v>222</v>
      </c>
    </row>
    <row r="138" spans="1:9" ht="28.8" x14ac:dyDescent="0.3">
      <c r="A138" s="22"/>
      <c r="B138" s="23" t="s">
        <v>223</v>
      </c>
      <c r="C138" s="24">
        <v>54</v>
      </c>
      <c r="D138" s="22" t="s">
        <v>11</v>
      </c>
      <c r="E138" s="22"/>
      <c r="F138" s="22"/>
      <c r="G138" s="22" t="s">
        <v>12</v>
      </c>
      <c r="H138" s="22" t="s">
        <v>20</v>
      </c>
      <c r="I138" s="23" t="s">
        <v>224</v>
      </c>
    </row>
    <row r="139" spans="1:9" ht="28.8" x14ac:dyDescent="0.3">
      <c r="A139" s="22"/>
      <c r="B139" s="23" t="s">
        <v>225</v>
      </c>
      <c r="C139" s="24">
        <v>38.4</v>
      </c>
      <c r="D139" s="22" t="s">
        <v>11</v>
      </c>
      <c r="E139" s="22"/>
      <c r="F139" s="22"/>
      <c r="G139" s="22" t="s">
        <v>12</v>
      </c>
      <c r="H139" s="22" t="s">
        <v>20</v>
      </c>
      <c r="I139" s="23" t="s">
        <v>226</v>
      </c>
    </row>
    <row r="140" spans="1:9" ht="18" customHeight="1" x14ac:dyDescent="0.3">
      <c r="A140" s="2" t="s">
        <v>227</v>
      </c>
      <c r="B140" s="3"/>
      <c r="C140" s="3"/>
      <c r="D140" s="3"/>
      <c r="E140" s="3"/>
      <c r="F140" s="3"/>
      <c r="G140" s="3"/>
      <c r="H140" s="3"/>
      <c r="I140" s="3"/>
    </row>
    <row r="141" spans="1:9" ht="28.8" x14ac:dyDescent="0.3">
      <c r="A141" s="10"/>
      <c r="B141" s="11" t="s">
        <v>228</v>
      </c>
      <c r="C141" s="12">
        <v>1</v>
      </c>
      <c r="D141" s="10" t="s">
        <v>46</v>
      </c>
      <c r="E141" s="10"/>
      <c r="F141" s="10"/>
      <c r="G141" s="10" t="s">
        <v>41</v>
      </c>
      <c r="H141" s="10" t="s">
        <v>229</v>
      </c>
      <c r="I141" s="11" t="s">
        <v>230</v>
      </c>
    </row>
    <row r="142" spans="1:9" ht="28.8" x14ac:dyDescent="0.3">
      <c r="A142" s="10"/>
      <c r="B142" s="11" t="s">
        <v>231</v>
      </c>
      <c r="C142" s="12">
        <v>1</v>
      </c>
      <c r="D142" s="10" t="s">
        <v>46</v>
      </c>
      <c r="E142" s="10"/>
      <c r="F142" s="10"/>
      <c r="G142" s="10" t="s">
        <v>41</v>
      </c>
      <c r="H142" s="10" t="s">
        <v>229</v>
      </c>
      <c r="I142" s="11" t="s">
        <v>230</v>
      </c>
    </row>
    <row r="143" spans="1:9" ht="28.8" x14ac:dyDescent="0.3">
      <c r="A143" s="10"/>
      <c r="B143" s="11" t="s">
        <v>232</v>
      </c>
      <c r="C143" s="12">
        <v>1</v>
      </c>
      <c r="D143" s="10" t="s">
        <v>46</v>
      </c>
      <c r="E143" s="10"/>
      <c r="F143" s="10"/>
      <c r="G143" s="10" t="s">
        <v>41</v>
      </c>
      <c r="H143" s="10" t="s">
        <v>229</v>
      </c>
      <c r="I143" s="11" t="s">
        <v>230</v>
      </c>
    </row>
    <row r="144" spans="1:9" ht="28.8" x14ac:dyDescent="0.3">
      <c r="A144" s="10"/>
      <c r="B144" s="11" t="s">
        <v>233</v>
      </c>
      <c r="C144" s="12">
        <v>1</v>
      </c>
      <c r="D144" s="10" t="s">
        <v>46</v>
      </c>
      <c r="E144" s="10"/>
      <c r="F144" s="10"/>
      <c r="G144" s="10" t="s">
        <v>41</v>
      </c>
      <c r="H144" s="10" t="s">
        <v>229</v>
      </c>
      <c r="I144" s="11" t="s">
        <v>230</v>
      </c>
    </row>
    <row r="145" spans="1:9" ht="28.8" x14ac:dyDescent="0.3">
      <c r="A145" s="10"/>
      <c r="B145" s="11" t="s">
        <v>234</v>
      </c>
      <c r="C145" s="12">
        <v>1</v>
      </c>
      <c r="D145" s="10" t="s">
        <v>46</v>
      </c>
      <c r="E145" s="10"/>
      <c r="F145" s="10"/>
      <c r="G145" s="10" t="s">
        <v>41</v>
      </c>
      <c r="H145" s="10" t="s">
        <v>229</v>
      </c>
      <c r="I145" s="11" t="s">
        <v>235</v>
      </c>
    </row>
    <row r="146" spans="1:9" ht="28.8" x14ac:dyDescent="0.3">
      <c r="A146" s="10"/>
      <c r="B146" s="11" t="s">
        <v>228</v>
      </c>
      <c r="C146" s="12">
        <v>1</v>
      </c>
      <c r="D146" s="10" t="s">
        <v>46</v>
      </c>
      <c r="E146" s="10"/>
      <c r="F146" s="10"/>
      <c r="G146" s="10" t="s">
        <v>41</v>
      </c>
      <c r="H146" s="10" t="s">
        <v>229</v>
      </c>
      <c r="I146" s="11" t="s">
        <v>236</v>
      </c>
    </row>
    <row r="147" spans="1:9" ht="28.8" x14ac:dyDescent="0.3">
      <c r="A147" s="10"/>
      <c r="B147" s="11" t="s">
        <v>231</v>
      </c>
      <c r="C147" s="12">
        <v>1</v>
      </c>
      <c r="D147" s="10" t="s">
        <v>46</v>
      </c>
      <c r="E147" s="10"/>
      <c r="F147" s="10"/>
      <c r="G147" s="10" t="s">
        <v>41</v>
      </c>
      <c r="H147" s="10" t="s">
        <v>229</v>
      </c>
      <c r="I147" s="11" t="s">
        <v>236</v>
      </c>
    </row>
    <row r="148" spans="1:9" ht="28.8" x14ac:dyDescent="0.3">
      <c r="A148" s="10"/>
      <c r="B148" s="11" t="s">
        <v>237</v>
      </c>
      <c r="C148" s="12">
        <v>1</v>
      </c>
      <c r="D148" s="10" t="s">
        <v>46</v>
      </c>
      <c r="E148" s="10"/>
      <c r="F148" s="10"/>
      <c r="G148" s="10" t="s">
        <v>41</v>
      </c>
      <c r="H148" s="10" t="s">
        <v>229</v>
      </c>
      <c r="I148" s="11" t="s">
        <v>236</v>
      </c>
    </row>
    <row r="149" spans="1:9" ht="28.8" x14ac:dyDescent="0.3">
      <c r="A149" s="10"/>
      <c r="B149" s="11" t="s">
        <v>233</v>
      </c>
      <c r="C149" s="12">
        <v>1</v>
      </c>
      <c r="D149" s="10" t="s">
        <v>46</v>
      </c>
      <c r="E149" s="10"/>
      <c r="F149" s="10"/>
      <c r="G149" s="10" t="s">
        <v>41</v>
      </c>
      <c r="H149" s="10" t="s">
        <v>229</v>
      </c>
      <c r="I149" s="11" t="s">
        <v>238</v>
      </c>
    </row>
    <row r="150" spans="1:9" ht="28.8" x14ac:dyDescent="0.3">
      <c r="A150" s="10"/>
      <c r="B150" s="11" t="s">
        <v>239</v>
      </c>
      <c r="C150" s="12">
        <v>1</v>
      </c>
      <c r="D150" s="10" t="s">
        <v>46</v>
      </c>
      <c r="E150" s="10"/>
      <c r="F150" s="10"/>
      <c r="G150" s="10" t="s">
        <v>12</v>
      </c>
      <c r="H150" s="10" t="s">
        <v>229</v>
      </c>
      <c r="I150" s="11" t="s">
        <v>240</v>
      </c>
    </row>
    <row r="151" spans="1:9" ht="28.8" x14ac:dyDescent="0.3">
      <c r="A151" s="10"/>
      <c r="B151" s="11" t="s">
        <v>241</v>
      </c>
      <c r="C151" s="12">
        <v>1</v>
      </c>
      <c r="D151" s="10" t="s">
        <v>46</v>
      </c>
      <c r="E151" s="10"/>
      <c r="F151" s="10"/>
      <c r="G151" s="10" t="s">
        <v>12</v>
      </c>
      <c r="H151" s="10" t="s">
        <v>229</v>
      </c>
      <c r="I151" s="11" t="s">
        <v>240</v>
      </c>
    </row>
    <row r="152" spans="1:9" ht="28.8" x14ac:dyDescent="0.3">
      <c r="A152" s="10"/>
      <c r="B152" s="11" t="s">
        <v>228</v>
      </c>
      <c r="C152" s="12">
        <v>1</v>
      </c>
      <c r="D152" s="10" t="s">
        <v>46</v>
      </c>
      <c r="E152" s="10"/>
      <c r="F152" s="10"/>
      <c r="G152" s="10" t="s">
        <v>12</v>
      </c>
      <c r="H152" s="10" t="s">
        <v>229</v>
      </c>
      <c r="I152" s="11" t="s">
        <v>240</v>
      </c>
    </row>
    <row r="153" spans="1:9" ht="28.8" x14ac:dyDescent="0.3">
      <c r="A153" s="10"/>
      <c r="B153" s="11" t="s">
        <v>231</v>
      </c>
      <c r="C153" s="12">
        <v>1</v>
      </c>
      <c r="D153" s="10" t="s">
        <v>46</v>
      </c>
      <c r="E153" s="10"/>
      <c r="F153" s="10"/>
      <c r="G153" s="10" t="s">
        <v>12</v>
      </c>
      <c r="H153" s="10" t="s">
        <v>229</v>
      </c>
      <c r="I153" s="11" t="s">
        <v>240</v>
      </c>
    </row>
    <row r="154" spans="1:9" ht="28.8" x14ac:dyDescent="0.3">
      <c r="A154" s="10"/>
      <c r="B154" s="11" t="s">
        <v>242</v>
      </c>
      <c r="C154" s="12">
        <v>1</v>
      </c>
      <c r="D154" s="10" t="s">
        <v>46</v>
      </c>
      <c r="E154" s="10"/>
      <c r="F154" s="10"/>
      <c r="G154" s="10" t="s">
        <v>41</v>
      </c>
      <c r="H154" s="10" t="s">
        <v>229</v>
      </c>
      <c r="I154" s="11" t="s">
        <v>240</v>
      </c>
    </row>
    <row r="155" spans="1:9" ht="28.8" x14ac:dyDescent="0.3">
      <c r="A155" s="10"/>
      <c r="B155" s="11" t="s">
        <v>243</v>
      </c>
      <c r="C155" s="12">
        <v>1</v>
      </c>
      <c r="D155" s="10" t="s">
        <v>46</v>
      </c>
      <c r="E155" s="10"/>
      <c r="F155" s="10"/>
      <c r="G155" s="10" t="s">
        <v>41</v>
      </c>
      <c r="H155" s="10" t="s">
        <v>229</v>
      </c>
      <c r="I155" s="11" t="s">
        <v>240</v>
      </c>
    </row>
    <row r="156" spans="1:9" ht="28.8" x14ac:dyDescent="0.3">
      <c r="A156" s="10"/>
      <c r="B156" s="11" t="s">
        <v>244</v>
      </c>
      <c r="C156" s="12">
        <v>1</v>
      </c>
      <c r="D156" s="10" t="s">
        <v>46</v>
      </c>
      <c r="E156" s="10"/>
      <c r="F156" s="10"/>
      <c r="G156" s="10" t="s">
        <v>41</v>
      </c>
      <c r="H156" s="10" t="s">
        <v>229</v>
      </c>
      <c r="I156" s="11" t="s">
        <v>240</v>
      </c>
    </row>
    <row r="157" spans="1:9" ht="28.8" x14ac:dyDescent="0.3">
      <c r="A157" s="10"/>
      <c r="B157" s="11" t="s">
        <v>245</v>
      </c>
      <c r="C157" s="12">
        <v>1</v>
      </c>
      <c r="D157" s="10" t="s">
        <v>46</v>
      </c>
      <c r="E157" s="10"/>
      <c r="F157" s="10"/>
      <c r="G157" s="10" t="s">
        <v>12</v>
      </c>
      <c r="H157" s="10" t="s">
        <v>229</v>
      </c>
      <c r="I157" s="11" t="s">
        <v>240</v>
      </c>
    </row>
    <row r="158" spans="1:9" ht="28.8" x14ac:dyDescent="0.3">
      <c r="A158" s="10"/>
      <c r="B158" s="11" t="s">
        <v>237</v>
      </c>
      <c r="C158" s="12">
        <v>1</v>
      </c>
      <c r="D158" s="10" t="s">
        <v>46</v>
      </c>
      <c r="E158" s="10"/>
      <c r="F158" s="10"/>
      <c r="G158" s="10" t="s">
        <v>12</v>
      </c>
      <c r="H158" s="10" t="s">
        <v>229</v>
      </c>
      <c r="I158" s="11" t="s">
        <v>240</v>
      </c>
    </row>
    <row r="159" spans="1:9" ht="72" x14ac:dyDescent="0.3">
      <c r="A159" s="10"/>
      <c r="B159" s="11" t="s">
        <v>246</v>
      </c>
      <c r="C159" s="12">
        <v>15.3</v>
      </c>
      <c r="D159" s="10" t="s">
        <v>46</v>
      </c>
      <c r="E159" s="10"/>
      <c r="F159" s="10"/>
      <c r="G159" s="10" t="s">
        <v>41</v>
      </c>
      <c r="H159" s="10" t="s">
        <v>247</v>
      </c>
      <c r="I159" s="11" t="s">
        <v>248</v>
      </c>
    </row>
    <row r="160" spans="1:9" ht="57.6" x14ac:dyDescent="0.3">
      <c r="A160" s="10"/>
      <c r="B160" s="11" t="s">
        <v>249</v>
      </c>
      <c r="C160" s="12">
        <v>5.78</v>
      </c>
      <c r="D160" s="10" t="s">
        <v>46</v>
      </c>
      <c r="E160" s="10"/>
      <c r="F160" s="10"/>
      <c r="G160" s="10" t="s">
        <v>12</v>
      </c>
      <c r="H160" s="10" t="s">
        <v>247</v>
      </c>
      <c r="I160" s="11" t="s">
        <v>250</v>
      </c>
    </row>
    <row r="161" spans="1:9" ht="28.8" x14ac:dyDescent="0.3">
      <c r="A161" s="10"/>
      <c r="B161" s="11" t="s">
        <v>234</v>
      </c>
      <c r="C161" s="12">
        <v>1</v>
      </c>
      <c r="D161" s="10" t="s">
        <v>46</v>
      </c>
      <c r="E161" s="10"/>
      <c r="F161" s="10"/>
      <c r="G161" s="10" t="s">
        <v>41</v>
      </c>
      <c r="H161" s="10" t="s">
        <v>229</v>
      </c>
      <c r="I161" s="11" t="s">
        <v>251</v>
      </c>
    </row>
    <row r="162" spans="1:9" ht="115.2" x14ac:dyDescent="0.3">
      <c r="A162" s="10"/>
      <c r="B162" s="11" t="s">
        <v>252</v>
      </c>
      <c r="C162" s="12">
        <v>0</v>
      </c>
      <c r="D162" s="10" t="s">
        <v>71</v>
      </c>
      <c r="E162" s="10"/>
      <c r="F162" s="10"/>
      <c r="G162" s="10" t="s">
        <v>41</v>
      </c>
      <c r="H162" s="10" t="s">
        <v>253</v>
      </c>
      <c r="I162" s="11" t="s">
        <v>254</v>
      </c>
    </row>
    <row r="163" spans="1:9" ht="72" x14ac:dyDescent="0.3">
      <c r="A163" s="10"/>
      <c r="B163" s="11" t="s">
        <v>255</v>
      </c>
      <c r="C163" s="12">
        <v>0</v>
      </c>
      <c r="D163" s="10" t="s">
        <v>71</v>
      </c>
      <c r="E163" s="10"/>
      <c r="F163" s="10"/>
      <c r="G163" s="10" t="s">
        <v>41</v>
      </c>
      <c r="H163" s="10" t="s">
        <v>253</v>
      </c>
      <c r="I163" s="11" t="s">
        <v>256</v>
      </c>
    </row>
    <row r="164" spans="1:9" ht="28.8" x14ac:dyDescent="0.3">
      <c r="A164" s="10"/>
      <c r="B164" s="11" t="s">
        <v>257</v>
      </c>
      <c r="C164" s="12">
        <v>1</v>
      </c>
      <c r="D164" s="10" t="s">
        <v>46</v>
      </c>
      <c r="E164" s="10"/>
      <c r="F164" s="10"/>
      <c r="G164" s="10" t="s">
        <v>41</v>
      </c>
      <c r="H164" s="10" t="s">
        <v>258</v>
      </c>
      <c r="I164" s="11" t="s">
        <v>259</v>
      </c>
    </row>
    <row r="165" spans="1:9" ht="28.8" x14ac:dyDescent="0.3">
      <c r="A165" s="10"/>
      <c r="B165" s="11" t="s">
        <v>260</v>
      </c>
      <c r="C165" s="12">
        <v>1</v>
      </c>
      <c r="D165" s="10" t="s">
        <v>46</v>
      </c>
      <c r="E165" s="10"/>
      <c r="F165" s="10"/>
      <c r="G165" s="10" t="s">
        <v>41</v>
      </c>
      <c r="H165" s="10" t="s">
        <v>258</v>
      </c>
      <c r="I165" s="11" t="s">
        <v>261</v>
      </c>
    </row>
    <row r="166" spans="1:9" ht="28.8" x14ac:dyDescent="0.3">
      <c r="A166" s="10"/>
      <c r="B166" s="11" t="s">
        <v>262</v>
      </c>
      <c r="C166" s="12">
        <v>1</v>
      </c>
      <c r="D166" s="10" t="s">
        <v>46</v>
      </c>
      <c r="E166" s="10"/>
      <c r="F166" s="10"/>
      <c r="G166" s="10" t="s">
        <v>41</v>
      </c>
      <c r="H166" s="10" t="s">
        <v>258</v>
      </c>
      <c r="I166" s="11" t="s">
        <v>263</v>
      </c>
    </row>
    <row r="167" spans="1:9" ht="28.8" x14ac:dyDescent="0.3">
      <c r="A167" s="10"/>
      <c r="B167" s="11" t="s">
        <v>264</v>
      </c>
      <c r="C167" s="12">
        <v>3</v>
      </c>
      <c r="D167" s="10" t="s">
        <v>46</v>
      </c>
      <c r="E167" s="10"/>
      <c r="F167" s="10"/>
      <c r="G167" s="10" t="s">
        <v>41</v>
      </c>
      <c r="H167" s="10" t="s">
        <v>258</v>
      </c>
      <c r="I167" s="11" t="s">
        <v>265</v>
      </c>
    </row>
    <row r="168" spans="1:9" ht="18" customHeight="1" x14ac:dyDescent="0.3">
      <c r="A168" s="2" t="s">
        <v>266</v>
      </c>
      <c r="B168" s="3"/>
      <c r="C168" s="3"/>
      <c r="D168" s="3"/>
      <c r="E168" s="3"/>
      <c r="F168" s="3"/>
      <c r="G168" s="3"/>
      <c r="H168" s="3"/>
      <c r="I168" s="3"/>
    </row>
    <row r="169" spans="1:9" x14ac:dyDescent="0.3">
      <c r="A169" s="25"/>
      <c r="B169" s="26" t="s">
        <v>267</v>
      </c>
      <c r="C169" s="27">
        <v>106.6</v>
      </c>
      <c r="D169" s="25" t="s">
        <v>11</v>
      </c>
      <c r="E169" s="25"/>
      <c r="F169" s="25"/>
      <c r="G169" s="25" t="s">
        <v>28</v>
      </c>
      <c r="H169" s="25" t="s">
        <v>20</v>
      </c>
      <c r="I169" s="26"/>
    </row>
    <row r="170" spans="1:9" x14ac:dyDescent="0.3">
      <c r="A170" s="25"/>
      <c r="B170" s="26" t="s">
        <v>268</v>
      </c>
      <c r="C170" s="27">
        <v>92.16</v>
      </c>
      <c r="D170" s="25" t="s">
        <v>11</v>
      </c>
      <c r="E170" s="25"/>
      <c r="F170" s="25"/>
      <c r="G170" s="25" t="s">
        <v>12</v>
      </c>
      <c r="H170" s="25" t="s">
        <v>20</v>
      </c>
      <c r="I170" s="26" t="s">
        <v>269</v>
      </c>
    </row>
    <row r="171" spans="1:9" ht="18" customHeight="1" x14ac:dyDescent="0.3">
      <c r="A171" s="2" t="s">
        <v>270</v>
      </c>
      <c r="B171" s="3"/>
      <c r="C171" s="3"/>
      <c r="D171" s="3"/>
      <c r="E171" s="3"/>
      <c r="F171" s="3"/>
      <c r="G171" s="3"/>
      <c r="H171" s="3"/>
      <c r="I171" s="3"/>
    </row>
    <row r="172" spans="1:9" ht="43.2" x14ac:dyDescent="0.3">
      <c r="A172" s="10"/>
      <c r="B172" s="11" t="s">
        <v>271</v>
      </c>
      <c r="C172" s="12">
        <v>1</v>
      </c>
      <c r="D172" s="10" t="s">
        <v>46</v>
      </c>
      <c r="E172" s="10"/>
      <c r="F172" s="10"/>
      <c r="G172" s="10" t="s">
        <v>41</v>
      </c>
      <c r="H172" s="10" t="s">
        <v>47</v>
      </c>
      <c r="I172" s="11" t="s">
        <v>272</v>
      </c>
    </row>
    <row r="173" spans="1:9" x14ac:dyDescent="0.3">
      <c r="A173" s="10"/>
      <c r="B173" s="11" t="s">
        <v>273</v>
      </c>
      <c r="C173" s="12">
        <v>3</v>
      </c>
      <c r="D173" s="10" t="s">
        <v>46</v>
      </c>
      <c r="E173" s="10"/>
      <c r="F173" s="10"/>
      <c r="G173" s="10" t="s">
        <v>41</v>
      </c>
      <c r="H173" s="10" t="s">
        <v>47</v>
      </c>
      <c r="I173" s="11" t="s">
        <v>127</v>
      </c>
    </row>
    <row r="174" spans="1:9" x14ac:dyDescent="0.3">
      <c r="A174" s="28"/>
      <c r="B174" s="29" t="s">
        <v>274</v>
      </c>
      <c r="C174" s="30">
        <v>2</v>
      </c>
      <c r="D174" s="28" t="s">
        <v>11</v>
      </c>
      <c r="E174" s="28"/>
      <c r="F174" s="28"/>
      <c r="G174" s="28" t="s">
        <v>12</v>
      </c>
      <c r="H174" s="28" t="s">
        <v>47</v>
      </c>
      <c r="I174" s="29" t="s">
        <v>275</v>
      </c>
    </row>
    <row r="175" spans="1:9" ht="28.8" x14ac:dyDescent="0.3">
      <c r="A175" s="10"/>
      <c r="B175" s="11" t="s">
        <v>276</v>
      </c>
      <c r="C175" s="12">
        <v>0.75</v>
      </c>
      <c r="D175" s="10" t="s">
        <v>11</v>
      </c>
      <c r="E175" s="10"/>
      <c r="F175" s="10"/>
      <c r="G175" s="10" t="s">
        <v>41</v>
      </c>
      <c r="H175" s="10" t="s">
        <v>47</v>
      </c>
      <c r="I175" s="11" t="s">
        <v>277</v>
      </c>
    </row>
    <row r="176" spans="1:9" ht="28.8" x14ac:dyDescent="0.3">
      <c r="A176" s="10"/>
      <c r="B176" s="11" t="s">
        <v>278</v>
      </c>
      <c r="C176" s="12">
        <v>1</v>
      </c>
      <c r="D176" s="10" t="s">
        <v>11</v>
      </c>
      <c r="E176" s="10"/>
      <c r="F176" s="10"/>
      <c r="G176" s="10" t="s">
        <v>41</v>
      </c>
      <c r="H176" s="10" t="s">
        <v>47</v>
      </c>
      <c r="I176" s="11" t="s">
        <v>279</v>
      </c>
    </row>
    <row r="177" spans="1:9" ht="43.2" x14ac:dyDescent="0.3">
      <c r="A177" s="10"/>
      <c r="B177" s="11" t="s">
        <v>276</v>
      </c>
      <c r="C177" s="12">
        <v>0.75</v>
      </c>
      <c r="D177" s="10" t="s">
        <v>46</v>
      </c>
      <c r="E177" s="10"/>
      <c r="F177" s="10"/>
      <c r="G177" s="10" t="s">
        <v>41</v>
      </c>
      <c r="H177" s="10" t="s">
        <v>47</v>
      </c>
      <c r="I177" s="11" t="s">
        <v>280</v>
      </c>
    </row>
    <row r="178" spans="1:9" ht="43.2" x14ac:dyDescent="0.3">
      <c r="A178" s="10"/>
      <c r="B178" s="11" t="s">
        <v>281</v>
      </c>
      <c r="C178" s="12">
        <v>0.75</v>
      </c>
      <c r="D178" s="10" t="s">
        <v>11</v>
      </c>
      <c r="E178" s="10"/>
      <c r="F178" s="10"/>
      <c r="G178" s="10" t="s">
        <v>41</v>
      </c>
      <c r="H178" s="10" t="s">
        <v>47</v>
      </c>
      <c r="I178" s="11" t="s">
        <v>282</v>
      </c>
    </row>
    <row r="179" spans="1:9" ht="72" x14ac:dyDescent="0.3">
      <c r="A179" s="10"/>
      <c r="B179" s="11" t="s">
        <v>283</v>
      </c>
      <c r="C179" s="12">
        <v>8.82</v>
      </c>
      <c r="D179" s="10" t="s">
        <v>46</v>
      </c>
      <c r="E179" s="10"/>
      <c r="F179" s="10"/>
      <c r="G179" s="10" t="s">
        <v>41</v>
      </c>
      <c r="H179" s="10" t="s">
        <v>284</v>
      </c>
      <c r="I179" s="11" t="s">
        <v>285</v>
      </c>
    </row>
    <row r="180" spans="1:9" ht="43.2" x14ac:dyDescent="0.3">
      <c r="A180" s="10"/>
      <c r="B180" s="11" t="s">
        <v>286</v>
      </c>
      <c r="C180" s="12">
        <v>14.7</v>
      </c>
      <c r="D180" s="10" t="s">
        <v>46</v>
      </c>
      <c r="E180" s="10"/>
      <c r="F180" s="10"/>
      <c r="G180" s="10" t="s">
        <v>41</v>
      </c>
      <c r="H180" s="10" t="s">
        <v>287</v>
      </c>
      <c r="I180" s="11" t="s">
        <v>288</v>
      </c>
    </row>
    <row r="181" spans="1:9" ht="43.2" x14ac:dyDescent="0.3">
      <c r="A181" s="10"/>
      <c r="B181" s="11" t="s">
        <v>289</v>
      </c>
      <c r="C181" s="12">
        <v>14.7</v>
      </c>
      <c r="D181" s="10" t="s">
        <v>46</v>
      </c>
      <c r="E181" s="10"/>
      <c r="F181" s="10"/>
      <c r="G181" s="10" t="s">
        <v>41</v>
      </c>
      <c r="H181" s="10" t="s">
        <v>287</v>
      </c>
      <c r="I181" s="11" t="s">
        <v>290</v>
      </c>
    </row>
    <row r="182" spans="1:9" x14ac:dyDescent="0.3">
      <c r="A182" s="28"/>
      <c r="B182" s="29" t="s">
        <v>276</v>
      </c>
      <c r="C182" s="30">
        <v>20.399999999999999</v>
      </c>
      <c r="D182" s="28" t="s">
        <v>27</v>
      </c>
      <c r="E182" s="28"/>
      <c r="F182" s="28"/>
      <c r="G182" s="28" t="s">
        <v>28</v>
      </c>
      <c r="H182" s="28" t="s">
        <v>20</v>
      </c>
      <c r="I182" s="29"/>
    </row>
    <row r="183" spans="1:9" x14ac:dyDescent="0.3">
      <c r="A183" s="28"/>
      <c r="B183" s="29" t="s">
        <v>281</v>
      </c>
      <c r="C183" s="30">
        <v>20.399999999999999</v>
      </c>
      <c r="D183" s="28" t="s">
        <v>11</v>
      </c>
      <c r="E183" s="28"/>
      <c r="F183" s="28"/>
      <c r="G183" s="28" t="s">
        <v>12</v>
      </c>
      <c r="H183" s="28" t="s">
        <v>20</v>
      </c>
      <c r="I183" s="29" t="s">
        <v>291</v>
      </c>
    </row>
    <row r="184" spans="1:9" x14ac:dyDescent="0.3">
      <c r="A184" s="28"/>
      <c r="B184" s="29" t="s">
        <v>278</v>
      </c>
      <c r="C184" s="30">
        <v>17</v>
      </c>
      <c r="D184" s="28" t="s">
        <v>11</v>
      </c>
      <c r="E184" s="28"/>
      <c r="F184" s="28"/>
      <c r="G184" s="28" t="s">
        <v>41</v>
      </c>
      <c r="H184" s="28" t="s">
        <v>292</v>
      </c>
      <c r="I184" s="29"/>
    </row>
  </sheetData>
  <autoFilter ref="A2:I184" xr:uid="{00000000-0009-0000-0000-000000000000}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8" customWidth="1"/>
    <col min="3" max="3" width="38" customWidth="1"/>
    <col min="4" max="5" width="40" customWidth="1"/>
    <col min="6" max="6" width="6" customWidth="1"/>
    <col min="7" max="7" width="10" customWidth="1"/>
    <col min="8" max="8" width="12" customWidth="1"/>
    <col min="9" max="9" width="30" customWidth="1"/>
    <col min="10" max="11" width="50" customWidth="1"/>
    <col min="12" max="12" width="10" customWidth="1"/>
  </cols>
  <sheetData>
    <row r="1" spans="1:12" ht="28.8" x14ac:dyDescent="0.3">
      <c r="A1" s="1" t="s">
        <v>293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</row>
    <row r="2" spans="1:12" ht="43.2" x14ac:dyDescent="0.3">
      <c r="A2" s="31" t="s">
        <v>305</v>
      </c>
      <c r="B2" s="31" t="s">
        <v>306</v>
      </c>
      <c r="C2" s="31" t="s">
        <v>9</v>
      </c>
      <c r="D2" s="31" t="s">
        <v>307</v>
      </c>
      <c r="E2" s="31" t="s">
        <v>10</v>
      </c>
      <c r="F2" s="31" t="s">
        <v>308</v>
      </c>
      <c r="G2" s="31">
        <v>88.3</v>
      </c>
      <c r="H2" s="31" t="s">
        <v>11</v>
      </c>
      <c r="I2" s="31" t="s">
        <v>309</v>
      </c>
      <c r="J2" s="31" t="s">
        <v>310</v>
      </c>
      <c r="K2" s="31" t="s">
        <v>311</v>
      </c>
      <c r="L2" s="31" t="s">
        <v>12</v>
      </c>
    </row>
    <row r="3" spans="1:12" ht="43.2" x14ac:dyDescent="0.3">
      <c r="A3" s="31" t="s">
        <v>312</v>
      </c>
      <c r="B3" s="31" t="s">
        <v>306</v>
      </c>
      <c r="C3" s="31" t="s">
        <v>9</v>
      </c>
      <c r="D3" s="31" t="s">
        <v>313</v>
      </c>
      <c r="E3" s="31" t="s">
        <v>15</v>
      </c>
      <c r="F3" s="31" t="s">
        <v>314</v>
      </c>
      <c r="G3" s="31">
        <v>60.3</v>
      </c>
      <c r="H3" s="31" t="s">
        <v>11</v>
      </c>
      <c r="I3" s="31" t="s">
        <v>315</v>
      </c>
      <c r="J3" s="31" t="s">
        <v>316</v>
      </c>
      <c r="K3" s="31" t="s">
        <v>317</v>
      </c>
      <c r="L3" s="31" t="s">
        <v>12</v>
      </c>
    </row>
    <row r="4" spans="1:12" ht="28.8" x14ac:dyDescent="0.3">
      <c r="A4" s="31" t="s">
        <v>318</v>
      </c>
      <c r="B4" s="31" t="s">
        <v>306</v>
      </c>
      <c r="C4" s="31" t="s">
        <v>9</v>
      </c>
      <c r="D4" s="31" t="s">
        <v>319</v>
      </c>
      <c r="E4" s="31" t="s">
        <v>15</v>
      </c>
      <c r="F4" s="31" t="s">
        <v>314</v>
      </c>
      <c r="G4" s="31">
        <v>4.5</v>
      </c>
      <c r="H4" s="31" t="s">
        <v>11</v>
      </c>
      <c r="I4" s="31" t="s">
        <v>320</v>
      </c>
      <c r="J4" s="31" t="s">
        <v>321</v>
      </c>
      <c r="K4" s="31" t="s">
        <v>322</v>
      </c>
      <c r="L4" s="31" t="s">
        <v>12</v>
      </c>
    </row>
    <row r="5" spans="1:12" x14ac:dyDescent="0.3">
      <c r="A5" s="31" t="s">
        <v>323</v>
      </c>
      <c r="B5" s="31" t="s">
        <v>306</v>
      </c>
      <c r="C5" s="31" t="s">
        <v>9</v>
      </c>
      <c r="D5" s="31" t="s">
        <v>324</v>
      </c>
      <c r="E5" s="31" t="s">
        <v>19</v>
      </c>
      <c r="F5" s="31" t="s">
        <v>314</v>
      </c>
      <c r="G5" s="31">
        <v>92.16</v>
      </c>
      <c r="H5" s="31" t="s">
        <v>11</v>
      </c>
      <c r="I5" s="31" t="s">
        <v>325</v>
      </c>
      <c r="J5" s="31" t="s">
        <v>326</v>
      </c>
      <c r="K5" s="31" t="s">
        <v>327</v>
      </c>
      <c r="L5" s="31" t="s">
        <v>12</v>
      </c>
    </row>
    <row r="6" spans="1:12" ht="28.8" x14ac:dyDescent="0.3">
      <c r="A6" s="31" t="s">
        <v>328</v>
      </c>
      <c r="B6" s="31" t="s">
        <v>306</v>
      </c>
      <c r="C6" s="31" t="s">
        <v>9</v>
      </c>
      <c r="D6" s="31" t="s">
        <v>329</v>
      </c>
      <c r="E6" s="31" t="s">
        <v>22</v>
      </c>
      <c r="F6" s="31" t="s">
        <v>314</v>
      </c>
      <c r="G6" s="31">
        <v>205.92</v>
      </c>
      <c r="H6" s="31" t="s">
        <v>11</v>
      </c>
      <c r="I6" s="31" t="s">
        <v>330</v>
      </c>
      <c r="J6" s="31" t="s">
        <v>331</v>
      </c>
      <c r="K6" s="31" t="s">
        <v>332</v>
      </c>
      <c r="L6" s="31" t="s">
        <v>12</v>
      </c>
    </row>
    <row r="7" spans="1:12" ht="28.8" x14ac:dyDescent="0.3">
      <c r="A7" s="31" t="s">
        <v>333</v>
      </c>
      <c r="B7" s="31" t="s">
        <v>334</v>
      </c>
      <c r="C7" s="31" t="s">
        <v>25</v>
      </c>
      <c r="D7" s="31" t="s">
        <v>335</v>
      </c>
      <c r="E7" s="31" t="s">
        <v>26</v>
      </c>
      <c r="F7" s="31" t="s">
        <v>308</v>
      </c>
      <c r="G7" s="31">
        <v>481.74</v>
      </c>
      <c r="H7" s="31" t="s">
        <v>27</v>
      </c>
      <c r="I7" s="31" t="s">
        <v>336</v>
      </c>
      <c r="J7" s="31" t="s">
        <v>337</v>
      </c>
      <c r="K7" s="31" t="s">
        <v>338</v>
      </c>
      <c r="L7" s="31" t="s">
        <v>28</v>
      </c>
    </row>
    <row r="8" spans="1:12" ht="28.8" x14ac:dyDescent="0.3">
      <c r="A8" s="31" t="s">
        <v>339</v>
      </c>
      <c r="B8" s="31" t="s">
        <v>334</v>
      </c>
      <c r="C8" s="31" t="s">
        <v>25</v>
      </c>
      <c r="D8" s="31" t="s">
        <v>340</v>
      </c>
      <c r="E8" s="31" t="s">
        <v>30</v>
      </c>
      <c r="F8" s="31" t="s">
        <v>308</v>
      </c>
      <c r="G8" s="31">
        <v>1634.29</v>
      </c>
      <c r="H8" s="31" t="s">
        <v>27</v>
      </c>
      <c r="I8" s="31" t="s">
        <v>336</v>
      </c>
      <c r="J8" s="31" t="s">
        <v>341</v>
      </c>
      <c r="K8" s="31" t="s">
        <v>338</v>
      </c>
      <c r="L8" s="31" t="s">
        <v>28</v>
      </c>
    </row>
    <row r="9" spans="1:12" ht="28.8" x14ac:dyDescent="0.3">
      <c r="A9" s="31" t="s">
        <v>342</v>
      </c>
      <c r="B9" s="31" t="s">
        <v>334</v>
      </c>
      <c r="C9" s="31" t="s">
        <v>25</v>
      </c>
      <c r="D9" s="31" t="s">
        <v>343</v>
      </c>
      <c r="E9" s="31" t="s">
        <v>32</v>
      </c>
      <c r="F9" s="31" t="s">
        <v>308</v>
      </c>
      <c r="G9" s="31">
        <v>2250.69</v>
      </c>
      <c r="H9" s="31" t="s">
        <v>27</v>
      </c>
      <c r="I9" s="31" t="s">
        <v>336</v>
      </c>
      <c r="J9" s="31" t="s">
        <v>344</v>
      </c>
      <c r="K9" s="31" t="s">
        <v>338</v>
      </c>
      <c r="L9" s="31" t="s">
        <v>28</v>
      </c>
    </row>
    <row r="10" spans="1:12" x14ac:dyDescent="0.3">
      <c r="A10" s="31" t="s">
        <v>345</v>
      </c>
      <c r="B10" s="31" t="s">
        <v>334</v>
      </c>
      <c r="C10" s="31" t="s">
        <v>25</v>
      </c>
      <c r="D10" s="31" t="s">
        <v>346</v>
      </c>
      <c r="E10" s="31" t="s">
        <v>33</v>
      </c>
      <c r="F10" s="31" t="s">
        <v>308</v>
      </c>
      <c r="G10" s="31">
        <v>3.57</v>
      </c>
      <c r="H10" s="31" t="s">
        <v>27</v>
      </c>
      <c r="I10" s="31" t="s">
        <v>336</v>
      </c>
      <c r="J10" s="31" t="s">
        <v>347</v>
      </c>
      <c r="K10" s="31" t="s">
        <v>338</v>
      </c>
      <c r="L10" s="31" t="s">
        <v>28</v>
      </c>
    </row>
    <row r="11" spans="1:12" x14ac:dyDescent="0.3">
      <c r="A11" s="31" t="s">
        <v>348</v>
      </c>
      <c r="B11" s="31" t="s">
        <v>334</v>
      </c>
      <c r="C11" s="31" t="s">
        <v>25</v>
      </c>
      <c r="D11" s="31" t="s">
        <v>349</v>
      </c>
      <c r="E11" s="31" t="s">
        <v>34</v>
      </c>
      <c r="F11" s="31" t="s">
        <v>308</v>
      </c>
      <c r="G11" s="31">
        <v>49.73</v>
      </c>
      <c r="H11" s="31" t="s">
        <v>27</v>
      </c>
      <c r="I11" s="31" t="s">
        <v>336</v>
      </c>
      <c r="J11" s="31" t="s">
        <v>350</v>
      </c>
      <c r="K11" s="31" t="s">
        <v>338</v>
      </c>
      <c r="L11" s="31" t="s">
        <v>28</v>
      </c>
    </row>
    <row r="12" spans="1:12" x14ac:dyDescent="0.3">
      <c r="A12" s="31" t="s">
        <v>351</v>
      </c>
      <c r="B12" s="31" t="s">
        <v>334</v>
      </c>
      <c r="C12" s="31" t="s">
        <v>25</v>
      </c>
      <c r="D12" s="31" t="s">
        <v>352</v>
      </c>
      <c r="E12" s="31" t="s">
        <v>35</v>
      </c>
      <c r="F12" s="31" t="s">
        <v>308</v>
      </c>
      <c r="G12" s="31">
        <v>69.91</v>
      </c>
      <c r="H12" s="31" t="s">
        <v>27</v>
      </c>
      <c r="I12" s="31" t="s">
        <v>353</v>
      </c>
      <c r="J12" s="31" t="s">
        <v>354</v>
      </c>
      <c r="K12" s="31" t="s">
        <v>338</v>
      </c>
      <c r="L12" s="31" t="s">
        <v>28</v>
      </c>
    </row>
    <row r="13" spans="1:12" x14ac:dyDescent="0.3">
      <c r="A13" s="31" t="s">
        <v>355</v>
      </c>
      <c r="B13" s="31" t="s">
        <v>334</v>
      </c>
      <c r="C13" s="31" t="s">
        <v>25</v>
      </c>
      <c r="D13" s="31" t="s">
        <v>356</v>
      </c>
      <c r="E13" s="31" t="s">
        <v>37</v>
      </c>
      <c r="F13" s="31" t="s">
        <v>308</v>
      </c>
      <c r="G13" s="31">
        <v>96.69</v>
      </c>
      <c r="H13" s="31" t="s">
        <v>27</v>
      </c>
      <c r="I13" s="31" t="s">
        <v>353</v>
      </c>
      <c r="J13" s="31" t="s">
        <v>357</v>
      </c>
      <c r="K13" s="31" t="s">
        <v>338</v>
      </c>
      <c r="L13" s="31" t="s">
        <v>28</v>
      </c>
    </row>
    <row r="14" spans="1:12" ht="28.8" x14ac:dyDescent="0.3">
      <c r="A14" s="31" t="s">
        <v>358</v>
      </c>
      <c r="B14" s="31" t="s">
        <v>334</v>
      </c>
      <c r="C14" s="31" t="s">
        <v>25</v>
      </c>
      <c r="D14" s="31" t="s">
        <v>359</v>
      </c>
      <c r="E14" s="31" t="s">
        <v>38</v>
      </c>
      <c r="F14" s="31" t="s">
        <v>308</v>
      </c>
      <c r="G14" s="31">
        <v>1385.3</v>
      </c>
      <c r="H14" s="31" t="s">
        <v>27</v>
      </c>
      <c r="I14" s="31" t="s">
        <v>360</v>
      </c>
      <c r="J14" s="31" t="s">
        <v>361</v>
      </c>
      <c r="K14" s="31" t="s">
        <v>362</v>
      </c>
      <c r="L14" s="31" t="s">
        <v>28</v>
      </c>
    </row>
    <row r="15" spans="1:12" ht="28.8" x14ac:dyDescent="0.3">
      <c r="A15" s="31" t="s">
        <v>363</v>
      </c>
      <c r="B15" s="31" t="s">
        <v>334</v>
      </c>
      <c r="C15" s="31" t="s">
        <v>25</v>
      </c>
      <c r="D15" s="31" t="s">
        <v>364</v>
      </c>
      <c r="E15" s="31" t="s">
        <v>40</v>
      </c>
      <c r="F15" s="31" t="s">
        <v>365</v>
      </c>
      <c r="G15" s="31">
        <v>176</v>
      </c>
      <c r="H15" s="31" t="s">
        <v>27</v>
      </c>
      <c r="I15" s="31" t="s">
        <v>366</v>
      </c>
      <c r="J15" s="31" t="s">
        <v>367</v>
      </c>
      <c r="K15" s="31" t="s">
        <v>368</v>
      </c>
      <c r="L15" s="31" t="s">
        <v>41</v>
      </c>
    </row>
    <row r="16" spans="1:12" ht="28.8" x14ac:dyDescent="0.3">
      <c r="A16" s="31" t="s">
        <v>369</v>
      </c>
      <c r="B16" s="31" t="s">
        <v>334</v>
      </c>
      <c r="C16" s="31" t="s">
        <v>25</v>
      </c>
      <c r="D16" s="31" t="s">
        <v>370</v>
      </c>
      <c r="E16" s="31" t="s">
        <v>40</v>
      </c>
      <c r="F16" s="31" t="s">
        <v>365</v>
      </c>
      <c r="G16" s="31">
        <v>5</v>
      </c>
      <c r="H16" s="31" t="s">
        <v>27</v>
      </c>
      <c r="I16" s="31" t="s">
        <v>371</v>
      </c>
      <c r="J16" s="31" t="s">
        <v>372</v>
      </c>
      <c r="K16" s="31" t="s">
        <v>373</v>
      </c>
      <c r="L16" s="31" t="s">
        <v>41</v>
      </c>
    </row>
    <row r="17" spans="1:12" ht="28.8" x14ac:dyDescent="0.3">
      <c r="A17" s="31" t="s">
        <v>374</v>
      </c>
      <c r="B17" s="31" t="s">
        <v>334</v>
      </c>
      <c r="C17" s="31" t="s">
        <v>25</v>
      </c>
      <c r="D17" s="31" t="s">
        <v>375</v>
      </c>
      <c r="E17" s="31" t="s">
        <v>38</v>
      </c>
      <c r="F17" s="31" t="s">
        <v>365</v>
      </c>
      <c r="G17" s="31">
        <v>85</v>
      </c>
      <c r="H17" s="31" t="s">
        <v>27</v>
      </c>
      <c r="I17" s="31" t="s">
        <v>376</v>
      </c>
      <c r="J17" s="31" t="s">
        <v>377</v>
      </c>
      <c r="K17" s="31" t="s">
        <v>378</v>
      </c>
      <c r="L17" s="31" t="s">
        <v>12</v>
      </c>
    </row>
    <row r="18" spans="1:12" ht="86.4" x14ac:dyDescent="0.3">
      <c r="A18" s="31" t="s">
        <v>379</v>
      </c>
      <c r="B18" s="31" t="s">
        <v>334</v>
      </c>
      <c r="C18" s="31" t="s">
        <v>25</v>
      </c>
      <c r="D18" s="31" t="s">
        <v>380</v>
      </c>
      <c r="E18" s="31" t="s">
        <v>45</v>
      </c>
      <c r="F18" s="31" t="s">
        <v>365</v>
      </c>
      <c r="G18" s="31">
        <v>21</v>
      </c>
      <c r="H18" s="31" t="s">
        <v>46</v>
      </c>
      <c r="I18" s="31" t="s">
        <v>381</v>
      </c>
      <c r="J18" s="31" t="s">
        <v>382</v>
      </c>
      <c r="K18" s="31" t="s">
        <v>383</v>
      </c>
      <c r="L18" s="31" t="s">
        <v>41</v>
      </c>
    </row>
    <row r="19" spans="1:12" ht="86.4" x14ac:dyDescent="0.3">
      <c r="A19" s="31" t="s">
        <v>384</v>
      </c>
      <c r="B19" s="31" t="s">
        <v>334</v>
      </c>
      <c r="C19" s="31" t="s">
        <v>25</v>
      </c>
      <c r="D19" s="31" t="s">
        <v>385</v>
      </c>
      <c r="E19" s="31" t="s">
        <v>49</v>
      </c>
      <c r="F19" s="31" t="s">
        <v>308</v>
      </c>
      <c r="G19" s="31">
        <v>100.8</v>
      </c>
      <c r="H19" s="31" t="s">
        <v>46</v>
      </c>
      <c r="I19" s="31" t="s">
        <v>386</v>
      </c>
      <c r="J19" s="31" t="s">
        <v>382</v>
      </c>
      <c r="K19" s="31" t="s">
        <v>387</v>
      </c>
      <c r="L19" s="31" t="s">
        <v>41</v>
      </c>
    </row>
    <row r="20" spans="1:12" ht="86.4" x14ac:dyDescent="0.3">
      <c r="A20" s="31" t="s">
        <v>388</v>
      </c>
      <c r="B20" s="31" t="s">
        <v>334</v>
      </c>
      <c r="C20" s="31" t="s">
        <v>25</v>
      </c>
      <c r="D20" s="31" t="s">
        <v>389</v>
      </c>
      <c r="E20" s="31" t="s">
        <v>51</v>
      </c>
      <c r="F20" s="31" t="s">
        <v>365</v>
      </c>
      <c r="G20" s="31">
        <v>3</v>
      </c>
      <c r="H20" s="31" t="s">
        <v>46</v>
      </c>
      <c r="I20" s="31" t="s">
        <v>390</v>
      </c>
      <c r="J20" s="31" t="s">
        <v>382</v>
      </c>
      <c r="K20" s="31" t="s">
        <v>391</v>
      </c>
      <c r="L20" s="31" t="s">
        <v>41</v>
      </c>
    </row>
    <row r="21" spans="1:12" ht="86.4" x14ac:dyDescent="0.3">
      <c r="A21" s="31" t="s">
        <v>392</v>
      </c>
      <c r="B21" s="31" t="s">
        <v>334</v>
      </c>
      <c r="C21" s="31" t="s">
        <v>25</v>
      </c>
      <c r="D21" s="31" t="s">
        <v>393</v>
      </c>
      <c r="E21" s="31" t="s">
        <v>53</v>
      </c>
      <c r="F21" s="31" t="s">
        <v>365</v>
      </c>
      <c r="G21" s="31">
        <v>9</v>
      </c>
      <c r="H21" s="31" t="s">
        <v>46</v>
      </c>
      <c r="I21" s="31" t="s">
        <v>394</v>
      </c>
      <c r="J21" s="31" t="s">
        <v>395</v>
      </c>
      <c r="K21" s="31" t="s">
        <v>396</v>
      </c>
      <c r="L21" s="31" t="s">
        <v>41</v>
      </c>
    </row>
    <row r="22" spans="1:12" ht="86.4" x14ac:dyDescent="0.3">
      <c r="A22" s="31" t="s">
        <v>397</v>
      </c>
      <c r="B22" s="31" t="s">
        <v>334</v>
      </c>
      <c r="C22" s="31" t="s">
        <v>25</v>
      </c>
      <c r="D22" s="31" t="s">
        <v>398</v>
      </c>
      <c r="E22" s="31" t="s">
        <v>55</v>
      </c>
      <c r="F22" s="31" t="s">
        <v>308</v>
      </c>
      <c r="G22" s="31">
        <v>43.2</v>
      </c>
      <c r="H22" s="31" t="s">
        <v>46</v>
      </c>
      <c r="I22" s="31" t="s">
        <v>399</v>
      </c>
      <c r="J22" s="31" t="s">
        <v>395</v>
      </c>
      <c r="K22" s="31" t="s">
        <v>387</v>
      </c>
      <c r="L22" s="31" t="s">
        <v>41</v>
      </c>
    </row>
    <row r="23" spans="1:12" ht="86.4" x14ac:dyDescent="0.3">
      <c r="A23" s="31" t="s">
        <v>400</v>
      </c>
      <c r="B23" s="31" t="s">
        <v>334</v>
      </c>
      <c r="C23" s="31" t="s">
        <v>25</v>
      </c>
      <c r="D23" s="31" t="s">
        <v>401</v>
      </c>
      <c r="E23" s="31" t="s">
        <v>57</v>
      </c>
      <c r="F23" s="31" t="s">
        <v>365</v>
      </c>
      <c r="G23" s="31">
        <v>2</v>
      </c>
      <c r="H23" s="31" t="s">
        <v>46</v>
      </c>
      <c r="I23" s="31" t="s">
        <v>402</v>
      </c>
      <c r="J23" s="31" t="s">
        <v>395</v>
      </c>
      <c r="K23" s="31" t="s">
        <v>403</v>
      </c>
      <c r="L23" s="31" t="s">
        <v>41</v>
      </c>
    </row>
    <row r="24" spans="1:12" ht="28.8" x14ac:dyDescent="0.3">
      <c r="A24" s="31" t="s">
        <v>404</v>
      </c>
      <c r="B24" s="31" t="s">
        <v>334</v>
      </c>
      <c r="C24" s="31" t="s">
        <v>25</v>
      </c>
      <c r="D24" s="31" t="s">
        <v>405</v>
      </c>
      <c r="E24" s="31" t="s">
        <v>59</v>
      </c>
      <c r="F24" s="31" t="s">
        <v>406</v>
      </c>
      <c r="G24" s="31">
        <v>24</v>
      </c>
      <c r="H24" s="31" t="s">
        <v>11</v>
      </c>
      <c r="I24" s="31" t="s">
        <v>407</v>
      </c>
      <c r="J24" s="31" t="s">
        <v>408</v>
      </c>
      <c r="K24" s="31" t="s">
        <v>409</v>
      </c>
      <c r="L24" s="31" t="s">
        <v>41</v>
      </c>
    </row>
    <row r="25" spans="1:12" ht="28.8" x14ac:dyDescent="0.3">
      <c r="A25" s="31" t="s">
        <v>410</v>
      </c>
      <c r="B25" s="31" t="s">
        <v>334</v>
      </c>
      <c r="C25" s="31" t="s">
        <v>25</v>
      </c>
      <c r="D25" s="31" t="s">
        <v>411</v>
      </c>
      <c r="E25" s="31" t="s">
        <v>62</v>
      </c>
      <c r="F25" s="31" t="s">
        <v>412</v>
      </c>
      <c r="G25" s="31">
        <v>2</v>
      </c>
      <c r="H25" s="31" t="s">
        <v>11</v>
      </c>
      <c r="I25" s="31" t="s">
        <v>413</v>
      </c>
      <c r="J25" s="31" t="s">
        <v>414</v>
      </c>
      <c r="K25" s="31" t="s">
        <v>415</v>
      </c>
      <c r="L25" s="31" t="s">
        <v>41</v>
      </c>
    </row>
    <row r="26" spans="1:12" x14ac:dyDescent="0.3">
      <c r="A26" s="31" t="s">
        <v>416</v>
      </c>
      <c r="B26" s="31" t="s">
        <v>334</v>
      </c>
      <c r="C26" s="31" t="s">
        <v>25</v>
      </c>
      <c r="D26" s="31" t="s">
        <v>417</v>
      </c>
      <c r="E26" s="31" t="s">
        <v>64</v>
      </c>
      <c r="F26" s="31" t="s">
        <v>308</v>
      </c>
      <c r="G26" s="31">
        <v>38.4</v>
      </c>
      <c r="H26" s="31" t="s">
        <v>11</v>
      </c>
      <c r="I26" s="31" t="e">
        <f>ext_wall_perimeter (steel floor bearing line)</f>
        <v>#NAME?</v>
      </c>
      <c r="J26" s="31" t="s">
        <v>418</v>
      </c>
      <c r="K26" s="31" t="e">
        <f>ext_wall_perimeter</f>
        <v>#NAME?</v>
      </c>
      <c r="L26" s="31" t="s">
        <v>12</v>
      </c>
    </row>
    <row r="27" spans="1:12" ht="28.8" x14ac:dyDescent="0.3">
      <c r="A27" s="31" t="s">
        <v>419</v>
      </c>
      <c r="B27" s="31" t="s">
        <v>334</v>
      </c>
      <c r="C27" s="31" t="s">
        <v>25</v>
      </c>
      <c r="D27" s="31" t="s">
        <v>420</v>
      </c>
      <c r="E27" s="31" t="s">
        <v>67</v>
      </c>
      <c r="F27" s="31" t="s">
        <v>421</v>
      </c>
      <c r="G27" s="31">
        <v>7.68</v>
      </c>
      <c r="H27" s="31" t="s">
        <v>11</v>
      </c>
      <c r="I27" s="31" t="s">
        <v>422</v>
      </c>
      <c r="J27" s="31" t="s">
        <v>423</v>
      </c>
      <c r="K27" s="31" t="s">
        <v>424</v>
      </c>
      <c r="L27" s="31" t="s">
        <v>41</v>
      </c>
    </row>
    <row r="28" spans="1:12" x14ac:dyDescent="0.3">
      <c r="A28" s="31" t="s">
        <v>425</v>
      </c>
      <c r="B28" s="31" t="s">
        <v>334</v>
      </c>
      <c r="C28" s="31" t="s">
        <v>25</v>
      </c>
      <c r="D28" s="31" t="s">
        <v>426</v>
      </c>
      <c r="E28" s="31" t="s">
        <v>69</v>
      </c>
      <c r="F28" s="31" t="s">
        <v>308</v>
      </c>
      <c r="G28" s="31">
        <v>38.4</v>
      </c>
      <c r="H28" s="31" t="s">
        <v>11</v>
      </c>
      <c r="I28" s="31" t="e">
        <f>perimeter (strip footing edge form)</f>
        <v>#NAME?</v>
      </c>
      <c r="J28" s="31" t="s">
        <v>418</v>
      </c>
      <c r="K28" s="31" t="e">
        <f>ext_wall_perimeter</f>
        <v>#NAME?</v>
      </c>
      <c r="L28" s="31" t="s">
        <v>12</v>
      </c>
    </row>
    <row r="29" spans="1:12" ht="28.8" x14ac:dyDescent="0.3">
      <c r="A29" s="31" t="s">
        <v>427</v>
      </c>
      <c r="B29" s="31" t="s">
        <v>334</v>
      </c>
      <c r="C29" s="31" t="s">
        <v>25</v>
      </c>
      <c r="D29" s="31" t="s">
        <v>428</v>
      </c>
      <c r="E29" s="31" t="s">
        <v>70</v>
      </c>
      <c r="F29" s="31" t="s">
        <v>421</v>
      </c>
      <c r="G29" s="31">
        <v>0</v>
      </c>
      <c r="H29" s="31" t="s">
        <v>71</v>
      </c>
      <c r="I29" s="31" t="s">
        <v>429</v>
      </c>
      <c r="J29" s="31" t="s">
        <v>72</v>
      </c>
      <c r="K29" s="31" t="s">
        <v>430</v>
      </c>
      <c r="L29" s="31" t="s">
        <v>41</v>
      </c>
    </row>
    <row r="30" spans="1:12" x14ac:dyDescent="0.3">
      <c r="A30" s="31" t="s">
        <v>431</v>
      </c>
      <c r="B30" s="31" t="s">
        <v>334</v>
      </c>
      <c r="C30" s="31" t="s">
        <v>25</v>
      </c>
      <c r="D30" s="31" t="s">
        <v>432</v>
      </c>
      <c r="E30" s="31" t="s">
        <v>74</v>
      </c>
      <c r="F30" s="31" t="s">
        <v>308</v>
      </c>
      <c r="G30" s="31">
        <v>29.4</v>
      </c>
      <c r="H30" s="31" t="s">
        <v>11</v>
      </c>
      <c r="I30" s="31" t="e">
        <f>int_wall_lm (DXF measured internal wall runs)</f>
        <v>#NAME?</v>
      </c>
      <c r="J30" s="31" t="s">
        <v>433</v>
      </c>
      <c r="K30" s="31" t="e">
        <f>int_wall_perimeter</f>
        <v>#NAME?</v>
      </c>
      <c r="L30" s="31" t="s">
        <v>12</v>
      </c>
    </row>
    <row r="31" spans="1:12" x14ac:dyDescent="0.3">
      <c r="A31" s="31" t="s">
        <v>434</v>
      </c>
      <c r="B31" s="31" t="s">
        <v>334</v>
      </c>
      <c r="C31" s="31" t="s">
        <v>25</v>
      </c>
      <c r="D31" s="31" t="s">
        <v>435</v>
      </c>
      <c r="E31" s="31" t="s">
        <v>74</v>
      </c>
      <c r="F31" s="31" t="s">
        <v>421</v>
      </c>
      <c r="G31" s="31">
        <v>5.88</v>
      </c>
      <c r="H31" s="31" t="s">
        <v>11</v>
      </c>
      <c r="I31" s="31" t="s">
        <v>436</v>
      </c>
      <c r="J31" s="31" t="s">
        <v>437</v>
      </c>
      <c r="K31" s="31" t="s">
        <v>438</v>
      </c>
      <c r="L31" s="31" t="s">
        <v>41</v>
      </c>
    </row>
    <row r="32" spans="1:12" x14ac:dyDescent="0.3">
      <c r="A32" s="31" t="s">
        <v>439</v>
      </c>
      <c r="B32" s="31" t="s">
        <v>334</v>
      </c>
      <c r="C32" s="31" t="s">
        <v>25</v>
      </c>
      <c r="D32" s="31" t="s">
        <v>440</v>
      </c>
      <c r="E32" s="31" t="s">
        <v>78</v>
      </c>
      <c r="F32" s="31" t="s">
        <v>365</v>
      </c>
      <c r="G32" s="31">
        <v>15</v>
      </c>
      <c r="H32" s="31" t="s">
        <v>27</v>
      </c>
      <c r="I32" s="31" t="s">
        <v>441</v>
      </c>
      <c r="J32" s="31" t="s">
        <v>442</v>
      </c>
      <c r="K32" s="31" t="s">
        <v>443</v>
      </c>
      <c r="L32" s="31" t="s">
        <v>12</v>
      </c>
    </row>
    <row r="33" spans="1:12" ht="28.8" x14ac:dyDescent="0.3">
      <c r="A33" s="31" t="s">
        <v>444</v>
      </c>
      <c r="B33" s="31" t="s">
        <v>334</v>
      </c>
      <c r="C33" s="31" t="s">
        <v>25</v>
      </c>
      <c r="D33" s="31" t="s">
        <v>445</v>
      </c>
      <c r="E33" s="31" t="s">
        <v>79</v>
      </c>
      <c r="F33" s="31" t="s">
        <v>421</v>
      </c>
      <c r="G33" s="31">
        <v>5.1449999999999996</v>
      </c>
      <c r="H33" s="31" t="s">
        <v>11</v>
      </c>
      <c r="I33" s="31" t="s">
        <v>446</v>
      </c>
      <c r="J33" s="31" t="s">
        <v>447</v>
      </c>
      <c r="K33" s="31" t="s">
        <v>448</v>
      </c>
      <c r="L33" s="31" t="s">
        <v>41</v>
      </c>
    </row>
    <row r="34" spans="1:12" ht="28.8" x14ac:dyDescent="0.3">
      <c r="A34" s="31" t="s">
        <v>449</v>
      </c>
      <c r="B34" s="31" t="s">
        <v>450</v>
      </c>
      <c r="C34" s="31" t="s">
        <v>81</v>
      </c>
      <c r="D34" s="31" t="s">
        <v>451</v>
      </c>
      <c r="E34" s="31" t="s">
        <v>82</v>
      </c>
      <c r="F34" s="31" t="s">
        <v>412</v>
      </c>
      <c r="G34" s="31">
        <v>19</v>
      </c>
      <c r="H34" s="31" t="s">
        <v>11</v>
      </c>
      <c r="I34" s="31" t="s">
        <v>452</v>
      </c>
      <c r="J34" s="31" t="s">
        <v>453</v>
      </c>
      <c r="K34" s="31" t="s">
        <v>454</v>
      </c>
      <c r="L34" s="31" t="s">
        <v>12</v>
      </c>
    </row>
    <row r="35" spans="1:12" ht="28.8" x14ac:dyDescent="0.3">
      <c r="A35" s="31" t="s">
        <v>455</v>
      </c>
      <c r="B35" s="31" t="s">
        <v>450</v>
      </c>
      <c r="C35" s="31" t="s">
        <v>81</v>
      </c>
      <c r="D35" s="31" t="s">
        <v>456</v>
      </c>
      <c r="E35" s="31" t="s">
        <v>84</v>
      </c>
      <c r="F35" s="31" t="s">
        <v>412</v>
      </c>
      <c r="G35" s="31">
        <v>3</v>
      </c>
      <c r="H35" s="31" t="s">
        <v>11</v>
      </c>
      <c r="I35" s="31" t="s">
        <v>457</v>
      </c>
      <c r="J35" s="31" t="s">
        <v>453</v>
      </c>
      <c r="K35" s="31" t="s">
        <v>458</v>
      </c>
      <c r="L35" s="31" t="s">
        <v>12</v>
      </c>
    </row>
    <row r="36" spans="1:12" ht="28.8" x14ac:dyDescent="0.3">
      <c r="A36" s="31" t="s">
        <v>459</v>
      </c>
      <c r="B36" s="31" t="s">
        <v>450</v>
      </c>
      <c r="C36" s="31" t="s">
        <v>81</v>
      </c>
      <c r="D36" s="31" t="s">
        <v>460</v>
      </c>
      <c r="E36" s="31" t="s">
        <v>86</v>
      </c>
      <c r="F36" s="31" t="s">
        <v>412</v>
      </c>
      <c r="G36" s="31">
        <v>7</v>
      </c>
      <c r="H36" s="31" t="s">
        <v>11</v>
      </c>
      <c r="I36" s="31" t="s">
        <v>461</v>
      </c>
      <c r="J36" s="31" t="s">
        <v>453</v>
      </c>
      <c r="K36" s="31" t="s">
        <v>462</v>
      </c>
      <c r="L36" s="31" t="s">
        <v>41</v>
      </c>
    </row>
    <row r="37" spans="1:12" ht="28.8" x14ac:dyDescent="0.3">
      <c r="A37" s="31" t="s">
        <v>463</v>
      </c>
      <c r="B37" s="31" t="s">
        <v>450</v>
      </c>
      <c r="C37" s="31" t="s">
        <v>81</v>
      </c>
      <c r="D37" s="31" t="s">
        <v>464</v>
      </c>
      <c r="E37" s="31" t="s">
        <v>88</v>
      </c>
      <c r="F37" s="31" t="s">
        <v>365</v>
      </c>
      <c r="G37" s="31">
        <v>60</v>
      </c>
      <c r="H37" s="31" t="s">
        <v>11</v>
      </c>
      <c r="I37" s="31" t="s">
        <v>465</v>
      </c>
      <c r="J37" s="31" t="s">
        <v>466</v>
      </c>
      <c r="K37" s="31" t="s">
        <v>467</v>
      </c>
      <c r="L37" s="31" t="s">
        <v>12</v>
      </c>
    </row>
    <row r="38" spans="1:12" ht="28.8" x14ac:dyDescent="0.3">
      <c r="A38" s="31" t="s">
        <v>468</v>
      </c>
      <c r="B38" s="31" t="s">
        <v>450</v>
      </c>
      <c r="C38" s="31" t="s">
        <v>81</v>
      </c>
      <c r="D38" s="31" t="s">
        <v>469</v>
      </c>
      <c r="E38" s="31" t="s">
        <v>90</v>
      </c>
      <c r="F38" s="31" t="s">
        <v>365</v>
      </c>
      <c r="G38" s="31">
        <v>28</v>
      </c>
      <c r="H38" s="31" t="s">
        <v>11</v>
      </c>
      <c r="I38" s="31" t="s">
        <v>470</v>
      </c>
      <c r="J38" s="31" t="s">
        <v>471</v>
      </c>
      <c r="K38" s="31" t="s">
        <v>472</v>
      </c>
      <c r="L38" s="31" t="s">
        <v>41</v>
      </c>
    </row>
    <row r="39" spans="1:12" x14ac:dyDescent="0.3">
      <c r="A39" s="31" t="s">
        <v>473</v>
      </c>
      <c r="B39" s="31" t="s">
        <v>450</v>
      </c>
      <c r="C39" s="31" t="s">
        <v>81</v>
      </c>
      <c r="D39" s="31" t="s">
        <v>474</v>
      </c>
      <c r="E39" s="31" t="s">
        <v>92</v>
      </c>
      <c r="F39" s="31" t="s">
        <v>365</v>
      </c>
      <c r="G39" s="31">
        <v>36</v>
      </c>
      <c r="H39" s="31" t="s">
        <v>11</v>
      </c>
      <c r="I39" s="31" t="s">
        <v>475</v>
      </c>
      <c r="J39" s="31" t="s">
        <v>476</v>
      </c>
      <c r="K39" s="31" t="s">
        <v>477</v>
      </c>
      <c r="L39" s="31" t="s">
        <v>41</v>
      </c>
    </row>
    <row r="40" spans="1:12" x14ac:dyDescent="0.3">
      <c r="A40" s="31" t="s">
        <v>478</v>
      </c>
      <c r="B40" s="31" t="s">
        <v>450</v>
      </c>
      <c r="C40" s="31" t="s">
        <v>81</v>
      </c>
      <c r="D40" s="31" t="s">
        <v>479</v>
      </c>
      <c r="E40" s="31" t="s">
        <v>94</v>
      </c>
      <c r="F40" s="31" t="s">
        <v>365</v>
      </c>
      <c r="G40" s="31">
        <v>60</v>
      </c>
      <c r="H40" s="31" t="s">
        <v>11</v>
      </c>
      <c r="I40" s="31" t="s">
        <v>480</v>
      </c>
      <c r="J40" s="31" t="s">
        <v>481</v>
      </c>
      <c r="K40" s="31" t="s">
        <v>467</v>
      </c>
      <c r="L40" s="31" t="s">
        <v>41</v>
      </c>
    </row>
    <row r="41" spans="1:12" ht="28.8" x14ac:dyDescent="0.3">
      <c r="A41" s="31" t="s">
        <v>482</v>
      </c>
      <c r="B41" s="31" t="s">
        <v>450</v>
      </c>
      <c r="C41" s="31" t="s">
        <v>81</v>
      </c>
      <c r="D41" s="31" t="s">
        <v>483</v>
      </c>
      <c r="E41" s="31" t="s">
        <v>96</v>
      </c>
      <c r="F41" s="31" t="s">
        <v>365</v>
      </c>
      <c r="G41" s="31">
        <v>18</v>
      </c>
      <c r="H41" s="31" t="s">
        <v>11</v>
      </c>
      <c r="I41" s="31" t="s">
        <v>484</v>
      </c>
      <c r="J41" s="31" t="s">
        <v>485</v>
      </c>
      <c r="K41" s="31" t="s">
        <v>486</v>
      </c>
      <c r="L41" s="31" t="s">
        <v>41</v>
      </c>
    </row>
    <row r="42" spans="1:12" ht="28.8" x14ac:dyDescent="0.3">
      <c r="A42" s="31" t="s">
        <v>487</v>
      </c>
      <c r="B42" s="31" t="s">
        <v>450</v>
      </c>
      <c r="C42" s="31" t="s">
        <v>81</v>
      </c>
      <c r="D42" s="31" t="s">
        <v>488</v>
      </c>
      <c r="E42" s="31" t="s">
        <v>98</v>
      </c>
      <c r="F42" s="31" t="s">
        <v>365</v>
      </c>
      <c r="G42" s="31">
        <v>34</v>
      </c>
      <c r="H42" s="31" t="s">
        <v>11</v>
      </c>
      <c r="I42" s="31" t="s">
        <v>489</v>
      </c>
      <c r="J42" s="31" t="s">
        <v>485</v>
      </c>
      <c r="K42" s="31" t="s">
        <v>490</v>
      </c>
      <c r="L42" s="31" t="s">
        <v>41</v>
      </c>
    </row>
    <row r="43" spans="1:12" ht="28.8" x14ac:dyDescent="0.3">
      <c r="A43" s="31" t="s">
        <v>491</v>
      </c>
      <c r="B43" s="31" t="s">
        <v>450</v>
      </c>
      <c r="C43" s="31" t="s">
        <v>81</v>
      </c>
      <c r="D43" s="31" t="s">
        <v>492</v>
      </c>
      <c r="E43" s="31" t="s">
        <v>100</v>
      </c>
      <c r="F43" s="31" t="s">
        <v>365</v>
      </c>
      <c r="G43" s="31">
        <v>45</v>
      </c>
      <c r="H43" s="31" t="s">
        <v>46</v>
      </c>
      <c r="I43" s="31" t="s">
        <v>493</v>
      </c>
      <c r="J43" s="31" t="s">
        <v>494</v>
      </c>
      <c r="K43" s="31" t="s">
        <v>495</v>
      </c>
      <c r="L43" s="31" t="s">
        <v>41</v>
      </c>
    </row>
    <row r="44" spans="1:12" ht="28.8" x14ac:dyDescent="0.3">
      <c r="A44" s="31" t="s">
        <v>496</v>
      </c>
      <c r="B44" s="31" t="s">
        <v>450</v>
      </c>
      <c r="C44" s="31" t="s">
        <v>81</v>
      </c>
      <c r="D44" s="31" t="s">
        <v>497</v>
      </c>
      <c r="E44" s="31" t="s">
        <v>102</v>
      </c>
      <c r="F44" s="31" t="s">
        <v>498</v>
      </c>
      <c r="G44" s="31">
        <v>0</v>
      </c>
      <c r="H44" s="31" t="s">
        <v>71</v>
      </c>
      <c r="I44" s="31" t="s">
        <v>499</v>
      </c>
      <c r="J44" s="31" t="s">
        <v>500</v>
      </c>
      <c r="K44" s="31" t="s">
        <v>430</v>
      </c>
      <c r="L44" s="31" t="s">
        <v>41</v>
      </c>
    </row>
    <row r="45" spans="1:12" x14ac:dyDescent="0.3">
      <c r="A45" s="31" t="s">
        <v>501</v>
      </c>
      <c r="B45" s="31" t="s">
        <v>502</v>
      </c>
      <c r="C45" s="31" t="s">
        <v>105</v>
      </c>
      <c r="D45" s="31" t="s">
        <v>503</v>
      </c>
      <c r="E45" s="31" t="s">
        <v>106</v>
      </c>
      <c r="F45" s="31" t="s">
        <v>504</v>
      </c>
      <c r="G45" s="31">
        <v>2</v>
      </c>
      <c r="H45" s="31" t="s">
        <v>11</v>
      </c>
      <c r="I45" s="31" t="s">
        <v>505</v>
      </c>
      <c r="J45" s="31" t="s">
        <v>506</v>
      </c>
      <c r="K45" s="31" t="s">
        <v>507</v>
      </c>
      <c r="L45" s="31" t="s">
        <v>28</v>
      </c>
    </row>
    <row r="46" spans="1:12" ht="28.8" x14ac:dyDescent="0.3">
      <c r="A46" s="31" t="s">
        <v>508</v>
      </c>
      <c r="B46" s="31" t="s">
        <v>502</v>
      </c>
      <c r="C46" s="31" t="s">
        <v>105</v>
      </c>
      <c r="D46" s="31" t="s">
        <v>509</v>
      </c>
      <c r="E46" s="31" t="s">
        <v>107</v>
      </c>
      <c r="F46" s="31" t="s">
        <v>412</v>
      </c>
      <c r="G46" s="31">
        <v>11</v>
      </c>
      <c r="H46" s="31" t="s">
        <v>11</v>
      </c>
      <c r="I46" s="31" t="s">
        <v>510</v>
      </c>
      <c r="J46" s="31" t="s">
        <v>506</v>
      </c>
      <c r="K46" s="31" t="s">
        <v>511</v>
      </c>
      <c r="L46" s="31" t="s">
        <v>12</v>
      </c>
    </row>
    <row r="47" spans="1:12" ht="28.8" x14ac:dyDescent="0.3">
      <c r="A47" s="31" t="s">
        <v>512</v>
      </c>
      <c r="B47" s="31" t="s">
        <v>502</v>
      </c>
      <c r="C47" s="31" t="s">
        <v>105</v>
      </c>
      <c r="D47" s="31" t="s">
        <v>513</v>
      </c>
      <c r="E47" s="31" t="s">
        <v>109</v>
      </c>
      <c r="F47" s="31" t="s">
        <v>406</v>
      </c>
      <c r="G47" s="31">
        <v>49</v>
      </c>
      <c r="H47" s="31" t="s">
        <v>11</v>
      </c>
      <c r="I47" s="31" t="s">
        <v>514</v>
      </c>
      <c r="J47" s="31" t="s">
        <v>515</v>
      </c>
      <c r="K47" s="31" t="s">
        <v>516</v>
      </c>
      <c r="L47" s="31" t="s">
        <v>12</v>
      </c>
    </row>
    <row r="48" spans="1:12" x14ac:dyDescent="0.3">
      <c r="A48" s="31" t="s">
        <v>517</v>
      </c>
      <c r="B48" s="31" t="s">
        <v>502</v>
      </c>
      <c r="C48" s="31" t="s">
        <v>105</v>
      </c>
      <c r="D48" s="31" t="s">
        <v>518</v>
      </c>
      <c r="E48" s="31" t="s">
        <v>111</v>
      </c>
      <c r="F48" s="31" t="s">
        <v>308</v>
      </c>
      <c r="G48" s="31">
        <v>10.6</v>
      </c>
      <c r="H48" s="31" t="s">
        <v>11</v>
      </c>
      <c r="I48" s="31" t="s">
        <v>519</v>
      </c>
      <c r="J48" s="31" t="s">
        <v>520</v>
      </c>
      <c r="K48" s="31" t="s">
        <v>521</v>
      </c>
      <c r="L48" s="31" t="s">
        <v>12</v>
      </c>
    </row>
    <row r="49" spans="1:12" x14ac:dyDescent="0.3">
      <c r="A49" s="31" t="s">
        <v>522</v>
      </c>
      <c r="B49" s="31" t="s">
        <v>502</v>
      </c>
      <c r="C49" s="31" t="s">
        <v>105</v>
      </c>
      <c r="D49" s="31" t="s">
        <v>523</v>
      </c>
      <c r="E49" s="31" t="s">
        <v>112</v>
      </c>
      <c r="F49" s="31" t="s">
        <v>365</v>
      </c>
      <c r="G49" s="31">
        <v>36</v>
      </c>
      <c r="H49" s="31" t="s">
        <v>11</v>
      </c>
      <c r="I49" s="31" t="s">
        <v>519</v>
      </c>
      <c r="J49" s="31" t="s">
        <v>520</v>
      </c>
      <c r="K49" s="31" t="s">
        <v>524</v>
      </c>
      <c r="L49" s="31" t="s">
        <v>12</v>
      </c>
    </row>
    <row r="50" spans="1:12" ht="28.8" x14ac:dyDescent="0.3">
      <c r="A50" s="31" t="s">
        <v>525</v>
      </c>
      <c r="B50" s="31" t="s">
        <v>502</v>
      </c>
      <c r="C50" s="31" t="s">
        <v>105</v>
      </c>
      <c r="D50" s="31" t="s">
        <v>526</v>
      </c>
      <c r="E50" s="31" t="s">
        <v>114</v>
      </c>
      <c r="F50" s="31" t="s">
        <v>365</v>
      </c>
      <c r="G50" s="31">
        <v>2</v>
      </c>
      <c r="H50" s="31" t="s">
        <v>11</v>
      </c>
      <c r="I50" s="31" t="s">
        <v>519</v>
      </c>
      <c r="J50" s="31" t="s">
        <v>520</v>
      </c>
      <c r="K50" s="31" t="s">
        <v>527</v>
      </c>
      <c r="L50" s="31" t="s">
        <v>12</v>
      </c>
    </row>
    <row r="51" spans="1:12" x14ac:dyDescent="0.3">
      <c r="A51" s="31" t="s">
        <v>528</v>
      </c>
      <c r="B51" s="31" t="s">
        <v>502</v>
      </c>
      <c r="C51" s="31" t="s">
        <v>105</v>
      </c>
      <c r="D51" s="31" t="s">
        <v>529</v>
      </c>
      <c r="E51" s="31" t="s">
        <v>116</v>
      </c>
      <c r="F51" s="31" t="s">
        <v>308</v>
      </c>
      <c r="G51" s="31">
        <v>42.4</v>
      </c>
      <c r="H51" s="31" t="s">
        <v>11</v>
      </c>
      <c r="I51" s="31" t="s">
        <v>530</v>
      </c>
      <c r="J51" s="31" t="s">
        <v>531</v>
      </c>
      <c r="K51" s="31" t="s">
        <v>532</v>
      </c>
      <c r="L51" s="31" t="s">
        <v>12</v>
      </c>
    </row>
    <row r="52" spans="1:12" x14ac:dyDescent="0.3">
      <c r="A52" s="31" t="s">
        <v>533</v>
      </c>
      <c r="B52" s="31" t="s">
        <v>502</v>
      </c>
      <c r="C52" s="31" t="s">
        <v>105</v>
      </c>
      <c r="D52" s="31" t="s">
        <v>534</v>
      </c>
      <c r="E52" s="31" t="s">
        <v>117</v>
      </c>
      <c r="F52" s="31" t="s">
        <v>365</v>
      </c>
      <c r="G52" s="31">
        <v>71</v>
      </c>
      <c r="H52" s="31" t="s">
        <v>11</v>
      </c>
      <c r="I52" s="31" t="s">
        <v>530</v>
      </c>
      <c r="J52" s="31" t="s">
        <v>531</v>
      </c>
      <c r="K52" s="31" t="s">
        <v>535</v>
      </c>
      <c r="L52" s="31" t="s">
        <v>12</v>
      </c>
    </row>
    <row r="53" spans="1:12" x14ac:dyDescent="0.3">
      <c r="A53" s="31" t="s">
        <v>536</v>
      </c>
      <c r="B53" s="31" t="s">
        <v>502</v>
      </c>
      <c r="C53" s="31" t="s">
        <v>105</v>
      </c>
      <c r="D53" s="31" t="s">
        <v>537</v>
      </c>
      <c r="E53" s="31" t="s">
        <v>119</v>
      </c>
      <c r="F53" s="31" t="s">
        <v>308</v>
      </c>
      <c r="G53" s="31">
        <v>42.4</v>
      </c>
      <c r="H53" s="31" t="s">
        <v>11</v>
      </c>
      <c r="I53" s="31" t="s">
        <v>530</v>
      </c>
      <c r="J53" s="31" t="s">
        <v>531</v>
      </c>
      <c r="K53" s="31" t="s">
        <v>538</v>
      </c>
      <c r="L53" s="31" t="s">
        <v>12</v>
      </c>
    </row>
    <row r="54" spans="1:12" x14ac:dyDescent="0.3">
      <c r="A54" s="31" t="s">
        <v>539</v>
      </c>
      <c r="B54" s="31" t="s">
        <v>502</v>
      </c>
      <c r="C54" s="31" t="s">
        <v>105</v>
      </c>
      <c r="D54" s="31" t="s">
        <v>540</v>
      </c>
      <c r="E54" s="31" t="s">
        <v>121</v>
      </c>
      <c r="F54" s="31" t="s">
        <v>308</v>
      </c>
      <c r="G54" s="31">
        <v>42.4</v>
      </c>
      <c r="H54" s="31" t="s">
        <v>11</v>
      </c>
      <c r="I54" s="31" t="s">
        <v>530</v>
      </c>
      <c r="J54" s="31" t="s">
        <v>531</v>
      </c>
      <c r="K54" s="31" t="s">
        <v>532</v>
      </c>
      <c r="L54" s="31" t="s">
        <v>12</v>
      </c>
    </row>
    <row r="55" spans="1:12" ht="43.2" x14ac:dyDescent="0.3">
      <c r="A55" s="31" t="s">
        <v>541</v>
      </c>
      <c r="B55" s="31" t="s">
        <v>502</v>
      </c>
      <c r="C55" s="31" t="s">
        <v>105</v>
      </c>
      <c r="D55" s="31" t="s">
        <v>542</v>
      </c>
      <c r="E55" s="31" t="s">
        <v>122</v>
      </c>
      <c r="F55" s="31" t="s">
        <v>365</v>
      </c>
      <c r="G55" s="31">
        <v>3</v>
      </c>
      <c r="H55" s="31" t="s">
        <v>11</v>
      </c>
      <c r="I55" s="31" t="s">
        <v>530</v>
      </c>
      <c r="J55" s="31" t="s">
        <v>531</v>
      </c>
      <c r="K55" s="31" t="s">
        <v>543</v>
      </c>
      <c r="L55" s="31" t="s">
        <v>12</v>
      </c>
    </row>
    <row r="56" spans="1:12" ht="28.8" x14ac:dyDescent="0.3">
      <c r="A56" s="31" t="s">
        <v>544</v>
      </c>
      <c r="B56" s="31" t="s">
        <v>502</v>
      </c>
      <c r="C56" s="31" t="s">
        <v>105</v>
      </c>
      <c r="D56" s="31" t="s">
        <v>545</v>
      </c>
      <c r="E56" s="31" t="s">
        <v>124</v>
      </c>
      <c r="F56" s="31" t="s">
        <v>365</v>
      </c>
      <c r="G56" s="31">
        <v>6</v>
      </c>
      <c r="H56" s="31" t="s">
        <v>11</v>
      </c>
      <c r="I56" s="31" t="s">
        <v>530</v>
      </c>
      <c r="J56" s="31" t="s">
        <v>531</v>
      </c>
      <c r="K56" s="31" t="s">
        <v>546</v>
      </c>
      <c r="L56" s="31" t="s">
        <v>12</v>
      </c>
    </row>
    <row r="57" spans="1:12" x14ac:dyDescent="0.3">
      <c r="A57" s="31" t="s">
        <v>547</v>
      </c>
      <c r="B57" s="31" t="s">
        <v>502</v>
      </c>
      <c r="C57" s="31" t="s">
        <v>105</v>
      </c>
      <c r="D57" s="31" t="s">
        <v>548</v>
      </c>
      <c r="E57" s="31" t="s">
        <v>126</v>
      </c>
      <c r="F57" s="31" t="s">
        <v>308</v>
      </c>
      <c r="G57" s="31">
        <v>8.5</v>
      </c>
      <c r="H57" s="31" t="s">
        <v>11</v>
      </c>
      <c r="I57" s="31" t="s">
        <v>549</v>
      </c>
      <c r="J57" s="31" t="s">
        <v>550</v>
      </c>
      <c r="K57" s="31" t="s">
        <v>551</v>
      </c>
      <c r="L57" s="31" t="s">
        <v>41</v>
      </c>
    </row>
    <row r="58" spans="1:12" ht="28.8" x14ac:dyDescent="0.3">
      <c r="A58" s="31" t="s">
        <v>552</v>
      </c>
      <c r="B58" s="31" t="s">
        <v>502</v>
      </c>
      <c r="C58" s="31" t="s">
        <v>105</v>
      </c>
      <c r="D58" s="31" t="s">
        <v>553</v>
      </c>
      <c r="E58" s="31" t="s">
        <v>128</v>
      </c>
      <c r="F58" s="31" t="s">
        <v>365</v>
      </c>
      <c r="G58" s="31">
        <v>2</v>
      </c>
      <c r="H58" s="31" t="s">
        <v>11</v>
      </c>
      <c r="I58" s="31" t="s">
        <v>549</v>
      </c>
      <c r="J58" s="31" t="s">
        <v>550</v>
      </c>
      <c r="K58" s="31" t="s">
        <v>554</v>
      </c>
      <c r="L58" s="31" t="s">
        <v>41</v>
      </c>
    </row>
    <row r="59" spans="1:12" x14ac:dyDescent="0.3">
      <c r="A59" s="31" t="s">
        <v>555</v>
      </c>
      <c r="B59" s="31" t="s">
        <v>502</v>
      </c>
      <c r="C59" s="31" t="s">
        <v>105</v>
      </c>
      <c r="D59" s="31" t="s">
        <v>556</v>
      </c>
      <c r="E59" s="31" t="s">
        <v>130</v>
      </c>
      <c r="F59" s="31" t="s">
        <v>365</v>
      </c>
      <c r="G59" s="31">
        <v>6</v>
      </c>
      <c r="H59" s="31" t="s">
        <v>11</v>
      </c>
      <c r="I59" s="31" t="s">
        <v>557</v>
      </c>
      <c r="J59" s="31" t="s">
        <v>558</v>
      </c>
      <c r="K59" s="31" t="s">
        <v>559</v>
      </c>
      <c r="L59" s="31" t="s">
        <v>12</v>
      </c>
    </row>
    <row r="60" spans="1:12" x14ac:dyDescent="0.3">
      <c r="A60" s="31" t="s">
        <v>560</v>
      </c>
      <c r="B60" s="31" t="s">
        <v>502</v>
      </c>
      <c r="C60" s="31" t="s">
        <v>105</v>
      </c>
      <c r="D60" s="31" t="s">
        <v>561</v>
      </c>
      <c r="E60" s="31" t="s">
        <v>131</v>
      </c>
      <c r="F60" s="31" t="s">
        <v>365</v>
      </c>
      <c r="G60" s="31">
        <v>6</v>
      </c>
      <c r="H60" s="31" t="s">
        <v>11</v>
      </c>
      <c r="I60" s="31" t="s">
        <v>557</v>
      </c>
      <c r="J60" s="31" t="s">
        <v>558</v>
      </c>
      <c r="K60" s="31" t="s">
        <v>559</v>
      </c>
      <c r="L60" s="31" t="s">
        <v>12</v>
      </c>
    </row>
    <row r="61" spans="1:12" ht="28.8" x14ac:dyDescent="0.3">
      <c r="A61" s="31" t="s">
        <v>562</v>
      </c>
      <c r="B61" s="31" t="s">
        <v>502</v>
      </c>
      <c r="C61" s="31" t="s">
        <v>105</v>
      </c>
      <c r="D61" s="31" t="s">
        <v>563</v>
      </c>
      <c r="E61" s="31" t="s">
        <v>132</v>
      </c>
      <c r="F61" s="31" t="s">
        <v>365</v>
      </c>
      <c r="G61" s="31">
        <v>12</v>
      </c>
      <c r="H61" s="31" t="s">
        <v>11</v>
      </c>
      <c r="I61" s="31" t="s">
        <v>557</v>
      </c>
      <c r="J61" s="31" t="s">
        <v>558</v>
      </c>
      <c r="K61" s="31" t="s">
        <v>564</v>
      </c>
      <c r="L61" s="31" t="s">
        <v>12</v>
      </c>
    </row>
    <row r="62" spans="1:12" x14ac:dyDescent="0.3">
      <c r="A62" s="31" t="s">
        <v>565</v>
      </c>
      <c r="B62" s="31" t="s">
        <v>502</v>
      </c>
      <c r="C62" s="31" t="s">
        <v>105</v>
      </c>
      <c r="D62" s="31" t="s">
        <v>566</v>
      </c>
      <c r="E62" s="31" t="s">
        <v>134</v>
      </c>
      <c r="F62" s="31" t="s">
        <v>365</v>
      </c>
      <c r="G62" s="31">
        <v>18</v>
      </c>
      <c r="H62" s="31" t="s">
        <v>11</v>
      </c>
      <c r="I62" s="31" t="s">
        <v>557</v>
      </c>
      <c r="J62" s="31" t="s">
        <v>558</v>
      </c>
      <c r="K62" s="31" t="s">
        <v>567</v>
      </c>
      <c r="L62" s="31" t="s">
        <v>12</v>
      </c>
    </row>
    <row r="63" spans="1:12" ht="28.8" x14ac:dyDescent="0.3">
      <c r="A63" s="31" t="s">
        <v>568</v>
      </c>
      <c r="B63" s="31" t="s">
        <v>569</v>
      </c>
      <c r="C63" s="31" t="s">
        <v>136</v>
      </c>
      <c r="D63" s="31" t="s">
        <v>570</v>
      </c>
      <c r="E63" s="31" t="s">
        <v>137</v>
      </c>
      <c r="F63" s="31" t="s">
        <v>314</v>
      </c>
      <c r="G63" s="31">
        <v>87.14</v>
      </c>
      <c r="H63" s="31" t="s">
        <v>11</v>
      </c>
      <c r="I63" s="31" t="s">
        <v>571</v>
      </c>
      <c r="J63" s="31" t="s">
        <v>572</v>
      </c>
      <c r="K63" s="31" t="s">
        <v>573</v>
      </c>
      <c r="L63" s="31" t="s">
        <v>28</v>
      </c>
    </row>
    <row r="64" spans="1:12" ht="43.2" x14ac:dyDescent="0.3">
      <c r="A64" s="31" t="s">
        <v>574</v>
      </c>
      <c r="B64" s="31" t="s">
        <v>569</v>
      </c>
      <c r="C64" s="31" t="s">
        <v>136</v>
      </c>
      <c r="D64" s="31" t="s">
        <v>575</v>
      </c>
      <c r="E64" s="31" t="s">
        <v>137</v>
      </c>
      <c r="F64" s="31" t="s">
        <v>365</v>
      </c>
      <c r="G64" s="31">
        <v>126</v>
      </c>
      <c r="H64" s="31" t="s">
        <v>11</v>
      </c>
      <c r="I64" s="31" t="s">
        <v>576</v>
      </c>
      <c r="J64" s="31" t="s">
        <v>577</v>
      </c>
      <c r="K64" s="31" t="s">
        <v>578</v>
      </c>
      <c r="L64" s="31" t="s">
        <v>12</v>
      </c>
    </row>
    <row r="65" spans="1:12" ht="57.6" x14ac:dyDescent="0.3">
      <c r="A65" s="31" t="s">
        <v>579</v>
      </c>
      <c r="B65" s="31" t="s">
        <v>569</v>
      </c>
      <c r="C65" s="31" t="s">
        <v>136</v>
      </c>
      <c r="D65" s="31" t="s">
        <v>580</v>
      </c>
      <c r="E65" s="31" t="s">
        <v>137</v>
      </c>
      <c r="F65" s="31" t="s">
        <v>365</v>
      </c>
      <c r="G65" s="31">
        <v>72</v>
      </c>
      <c r="H65" s="31" t="s">
        <v>11</v>
      </c>
      <c r="I65" s="31" t="s">
        <v>581</v>
      </c>
      <c r="J65" s="31" t="s">
        <v>582</v>
      </c>
      <c r="K65" s="31" t="s">
        <v>583</v>
      </c>
      <c r="L65" s="31" t="s">
        <v>12</v>
      </c>
    </row>
    <row r="66" spans="1:12" ht="43.2" x14ac:dyDescent="0.3">
      <c r="A66" s="31" t="s">
        <v>584</v>
      </c>
      <c r="B66" s="31" t="s">
        <v>569</v>
      </c>
      <c r="C66" s="31" t="s">
        <v>136</v>
      </c>
      <c r="D66" s="31" t="s">
        <v>585</v>
      </c>
      <c r="E66" s="31" t="s">
        <v>141</v>
      </c>
      <c r="F66" s="31" t="s">
        <v>365</v>
      </c>
      <c r="G66" s="31">
        <v>4</v>
      </c>
      <c r="H66" s="31" t="s">
        <v>46</v>
      </c>
      <c r="I66" s="31" t="s">
        <v>586</v>
      </c>
      <c r="J66" s="31" t="s">
        <v>587</v>
      </c>
      <c r="K66" s="31" t="s">
        <v>588</v>
      </c>
      <c r="L66" s="31" t="s">
        <v>12</v>
      </c>
    </row>
    <row r="67" spans="1:12" x14ac:dyDescent="0.3">
      <c r="A67" s="31" t="s">
        <v>589</v>
      </c>
      <c r="B67" s="31" t="s">
        <v>569</v>
      </c>
      <c r="C67" s="31" t="s">
        <v>136</v>
      </c>
      <c r="D67" s="31" t="s">
        <v>590</v>
      </c>
      <c r="E67" s="31" t="s">
        <v>143</v>
      </c>
      <c r="F67" s="31" t="s">
        <v>308</v>
      </c>
      <c r="G67" s="31">
        <v>9.6</v>
      </c>
      <c r="H67" s="31" t="s">
        <v>11</v>
      </c>
      <c r="I67" s="31" t="s">
        <v>591</v>
      </c>
      <c r="J67" s="31" t="s">
        <v>592</v>
      </c>
      <c r="K67" s="31" t="s">
        <v>593</v>
      </c>
      <c r="L67" s="31" t="s">
        <v>12</v>
      </c>
    </row>
    <row r="68" spans="1:12" ht="28.8" x14ac:dyDescent="0.3">
      <c r="A68" s="31" t="s">
        <v>594</v>
      </c>
      <c r="B68" s="31" t="s">
        <v>569</v>
      </c>
      <c r="C68" s="31" t="s">
        <v>136</v>
      </c>
      <c r="D68" s="31" t="s">
        <v>595</v>
      </c>
      <c r="E68" s="31" t="s">
        <v>137</v>
      </c>
      <c r="F68" s="31" t="s">
        <v>365</v>
      </c>
      <c r="G68" s="31">
        <v>768</v>
      </c>
      <c r="H68" s="31" t="s">
        <v>11</v>
      </c>
      <c r="I68" s="31" t="s">
        <v>596</v>
      </c>
      <c r="J68" s="31" t="s">
        <v>597</v>
      </c>
      <c r="K68" s="31" t="s">
        <v>598</v>
      </c>
      <c r="L68" s="31" t="s">
        <v>12</v>
      </c>
    </row>
    <row r="69" spans="1:12" x14ac:dyDescent="0.3">
      <c r="A69" s="31" t="s">
        <v>599</v>
      </c>
      <c r="B69" s="31" t="s">
        <v>569</v>
      </c>
      <c r="C69" s="31" t="s">
        <v>136</v>
      </c>
      <c r="D69" s="31" t="s">
        <v>600</v>
      </c>
      <c r="E69" s="31" t="s">
        <v>146</v>
      </c>
      <c r="F69" s="31" t="s">
        <v>365</v>
      </c>
      <c r="G69" s="31">
        <v>1536</v>
      </c>
      <c r="H69" s="31" t="s">
        <v>11</v>
      </c>
      <c r="I69" s="31" t="s">
        <v>601</v>
      </c>
      <c r="J69" s="31" t="s">
        <v>602</v>
      </c>
      <c r="K69" s="31" t="s">
        <v>603</v>
      </c>
      <c r="L69" s="31" t="s">
        <v>41</v>
      </c>
    </row>
    <row r="70" spans="1:12" ht="28.8" x14ac:dyDescent="0.3">
      <c r="A70" s="31" t="s">
        <v>604</v>
      </c>
      <c r="B70" s="31" t="s">
        <v>569</v>
      </c>
      <c r="C70" s="31" t="s">
        <v>136</v>
      </c>
      <c r="D70" s="31" t="s">
        <v>605</v>
      </c>
      <c r="E70" s="31" t="s">
        <v>149</v>
      </c>
      <c r="F70" s="31" t="s">
        <v>314</v>
      </c>
      <c r="G70" s="31">
        <v>96.77</v>
      </c>
      <c r="H70" s="31" t="s">
        <v>11</v>
      </c>
      <c r="I70" s="31" t="s">
        <v>606</v>
      </c>
      <c r="J70" s="31" t="s">
        <v>607</v>
      </c>
      <c r="K70" s="31" t="s">
        <v>608</v>
      </c>
      <c r="L70" s="31" t="s">
        <v>12</v>
      </c>
    </row>
    <row r="71" spans="1:12" x14ac:dyDescent="0.3">
      <c r="A71" s="31" t="s">
        <v>609</v>
      </c>
      <c r="B71" s="31" t="s">
        <v>569</v>
      </c>
      <c r="C71" s="31" t="s">
        <v>136</v>
      </c>
      <c r="D71" s="31" t="s">
        <v>610</v>
      </c>
      <c r="E71" s="31" t="s">
        <v>151</v>
      </c>
      <c r="F71" s="31" t="s">
        <v>314</v>
      </c>
      <c r="G71" s="31">
        <v>21.6</v>
      </c>
      <c r="H71" s="31" t="s">
        <v>27</v>
      </c>
      <c r="I71" s="31" t="s">
        <v>611</v>
      </c>
      <c r="J71" s="31" t="s">
        <v>612</v>
      </c>
      <c r="K71" s="31" t="e">
        <f>verandah_area_m2</f>
        <v>#NAME?</v>
      </c>
      <c r="L71" s="31" t="s">
        <v>28</v>
      </c>
    </row>
    <row r="72" spans="1:12" ht="28.8" x14ac:dyDescent="0.3">
      <c r="A72" s="31" t="s">
        <v>613</v>
      </c>
      <c r="B72" s="31" t="s">
        <v>569</v>
      </c>
      <c r="C72" s="31" t="s">
        <v>136</v>
      </c>
      <c r="D72" s="31" t="s">
        <v>614</v>
      </c>
      <c r="E72" s="31" t="s">
        <v>152</v>
      </c>
      <c r="F72" s="31" t="s">
        <v>498</v>
      </c>
      <c r="G72" s="31">
        <v>0</v>
      </c>
      <c r="H72" s="31" t="s">
        <v>71</v>
      </c>
      <c r="I72" s="31" t="s">
        <v>615</v>
      </c>
      <c r="J72" s="31" t="s">
        <v>72</v>
      </c>
      <c r="K72" s="31" t="s">
        <v>430</v>
      </c>
      <c r="L72" s="31" t="s">
        <v>41</v>
      </c>
    </row>
    <row r="73" spans="1:12" x14ac:dyDescent="0.3">
      <c r="A73" s="31" t="s">
        <v>616</v>
      </c>
      <c r="B73" s="31" t="s">
        <v>617</v>
      </c>
      <c r="C73" s="31" t="s">
        <v>154</v>
      </c>
      <c r="D73" s="31" t="s">
        <v>618</v>
      </c>
      <c r="E73" s="31" t="s">
        <v>155</v>
      </c>
      <c r="F73" s="31" t="s">
        <v>365</v>
      </c>
      <c r="G73" s="31">
        <v>1</v>
      </c>
      <c r="H73" s="31" t="s">
        <v>27</v>
      </c>
      <c r="I73" s="31" t="s">
        <v>619</v>
      </c>
      <c r="J73" s="31" t="s">
        <v>620</v>
      </c>
      <c r="K73" s="31" t="s">
        <v>443</v>
      </c>
      <c r="L73" s="31" t="s">
        <v>28</v>
      </c>
    </row>
    <row r="74" spans="1:12" x14ac:dyDescent="0.3">
      <c r="A74" s="31" t="s">
        <v>621</v>
      </c>
      <c r="B74" s="31" t="s">
        <v>617</v>
      </c>
      <c r="C74" s="31" t="s">
        <v>154</v>
      </c>
      <c r="D74" s="31" t="s">
        <v>622</v>
      </c>
      <c r="E74" s="31" t="s">
        <v>158</v>
      </c>
      <c r="F74" s="31" t="s">
        <v>365</v>
      </c>
      <c r="G74" s="31">
        <v>4</v>
      </c>
      <c r="H74" s="31" t="s">
        <v>27</v>
      </c>
      <c r="I74" s="31" t="s">
        <v>619</v>
      </c>
      <c r="J74" s="31" t="s">
        <v>623</v>
      </c>
      <c r="K74" s="31" t="s">
        <v>443</v>
      </c>
      <c r="L74" s="31" t="s">
        <v>28</v>
      </c>
    </row>
    <row r="75" spans="1:12" x14ac:dyDescent="0.3">
      <c r="A75" s="31" t="s">
        <v>624</v>
      </c>
      <c r="B75" s="31" t="s">
        <v>617</v>
      </c>
      <c r="C75" s="31" t="s">
        <v>154</v>
      </c>
      <c r="D75" s="31" t="s">
        <v>625</v>
      </c>
      <c r="E75" s="31" t="s">
        <v>159</v>
      </c>
      <c r="F75" s="31" t="s">
        <v>365</v>
      </c>
      <c r="G75" s="31">
        <v>1</v>
      </c>
      <c r="H75" s="31" t="s">
        <v>27</v>
      </c>
      <c r="I75" s="31" t="s">
        <v>619</v>
      </c>
      <c r="J75" s="31" t="s">
        <v>626</v>
      </c>
      <c r="K75" s="31" t="s">
        <v>443</v>
      </c>
      <c r="L75" s="31" t="s">
        <v>28</v>
      </c>
    </row>
    <row r="76" spans="1:12" ht="28.8" x14ac:dyDescent="0.3">
      <c r="A76" s="31" t="s">
        <v>627</v>
      </c>
      <c r="B76" s="31" t="s">
        <v>617</v>
      </c>
      <c r="C76" s="31" t="s">
        <v>154</v>
      </c>
      <c r="D76" s="31" t="s">
        <v>628</v>
      </c>
      <c r="E76" s="31" t="s">
        <v>160</v>
      </c>
      <c r="F76" s="31" t="s">
        <v>308</v>
      </c>
      <c r="G76" s="31">
        <v>5.52</v>
      </c>
      <c r="H76" s="31" t="s">
        <v>11</v>
      </c>
      <c r="I76" s="31" t="s">
        <v>629</v>
      </c>
      <c r="J76" s="31" t="s">
        <v>630</v>
      </c>
      <c r="K76" s="31" t="s">
        <v>631</v>
      </c>
      <c r="L76" s="31" t="s">
        <v>12</v>
      </c>
    </row>
    <row r="77" spans="1:12" ht="28.8" x14ac:dyDescent="0.3">
      <c r="A77" s="31" t="s">
        <v>632</v>
      </c>
      <c r="B77" s="31" t="s">
        <v>617</v>
      </c>
      <c r="C77" s="31" t="s">
        <v>154</v>
      </c>
      <c r="D77" s="31" t="s">
        <v>633</v>
      </c>
      <c r="E77" s="31" t="s">
        <v>162</v>
      </c>
      <c r="F77" s="31" t="s">
        <v>308</v>
      </c>
      <c r="G77" s="31">
        <v>5.52</v>
      </c>
      <c r="H77" s="31" t="s">
        <v>11</v>
      </c>
      <c r="I77" s="31" t="s">
        <v>629</v>
      </c>
      <c r="J77" s="31" t="s">
        <v>634</v>
      </c>
      <c r="K77" s="31" t="s">
        <v>631</v>
      </c>
      <c r="L77" s="31" t="s">
        <v>12</v>
      </c>
    </row>
    <row r="78" spans="1:12" x14ac:dyDescent="0.3">
      <c r="A78" s="31" t="s">
        <v>635</v>
      </c>
      <c r="B78" s="31" t="s">
        <v>617</v>
      </c>
      <c r="C78" s="31" t="s">
        <v>154</v>
      </c>
      <c r="D78" s="31" t="s">
        <v>636</v>
      </c>
      <c r="E78" s="31" t="s">
        <v>164</v>
      </c>
      <c r="F78" s="31" t="s">
        <v>365</v>
      </c>
      <c r="G78" s="31">
        <v>1</v>
      </c>
      <c r="H78" s="31" t="s">
        <v>11</v>
      </c>
      <c r="I78" s="31" t="s">
        <v>637</v>
      </c>
      <c r="J78" s="31" t="s">
        <v>638</v>
      </c>
      <c r="K78" s="31" t="s">
        <v>639</v>
      </c>
      <c r="L78" s="31" t="s">
        <v>28</v>
      </c>
    </row>
    <row r="79" spans="1:12" x14ac:dyDescent="0.3">
      <c r="A79" s="31" t="s">
        <v>640</v>
      </c>
      <c r="B79" s="31" t="s">
        <v>617</v>
      </c>
      <c r="C79" s="31" t="s">
        <v>154</v>
      </c>
      <c r="D79" s="31" t="s">
        <v>641</v>
      </c>
      <c r="E79" s="31" t="s">
        <v>166</v>
      </c>
      <c r="F79" s="31" t="s">
        <v>365</v>
      </c>
      <c r="G79" s="31">
        <v>1</v>
      </c>
      <c r="H79" s="31" t="s">
        <v>11</v>
      </c>
      <c r="I79" s="31" t="s">
        <v>637</v>
      </c>
      <c r="J79" s="31" t="s">
        <v>638</v>
      </c>
      <c r="K79" s="31" t="s">
        <v>639</v>
      </c>
      <c r="L79" s="31" t="s">
        <v>28</v>
      </c>
    </row>
    <row r="80" spans="1:12" ht="28.8" x14ac:dyDescent="0.3">
      <c r="A80" s="31" t="s">
        <v>642</v>
      </c>
      <c r="B80" s="31" t="s">
        <v>617</v>
      </c>
      <c r="C80" s="31" t="s">
        <v>154</v>
      </c>
      <c r="D80" s="31" t="s">
        <v>643</v>
      </c>
      <c r="E80" s="31" t="s">
        <v>167</v>
      </c>
      <c r="F80" s="31" t="s">
        <v>365</v>
      </c>
      <c r="G80" s="31">
        <v>3</v>
      </c>
      <c r="H80" s="31" t="s">
        <v>11</v>
      </c>
      <c r="I80" s="31" t="s">
        <v>637</v>
      </c>
      <c r="J80" s="31" t="s">
        <v>638</v>
      </c>
      <c r="K80" s="31" t="s">
        <v>644</v>
      </c>
      <c r="L80" s="31" t="s">
        <v>12</v>
      </c>
    </row>
    <row r="81" spans="1:12" x14ac:dyDescent="0.3">
      <c r="A81" s="31" t="s">
        <v>645</v>
      </c>
      <c r="B81" s="31" t="s">
        <v>617</v>
      </c>
      <c r="C81" s="31" t="s">
        <v>154</v>
      </c>
      <c r="D81" s="31" t="s">
        <v>646</v>
      </c>
      <c r="E81" s="31" t="s">
        <v>169</v>
      </c>
      <c r="F81" s="31" t="s">
        <v>365</v>
      </c>
      <c r="G81" s="31">
        <v>1</v>
      </c>
      <c r="H81" s="31" t="s">
        <v>11</v>
      </c>
      <c r="I81" s="31" t="s">
        <v>637</v>
      </c>
      <c r="J81" s="31" t="s">
        <v>638</v>
      </c>
      <c r="K81" s="31" t="s">
        <v>639</v>
      </c>
      <c r="L81" s="31" t="s">
        <v>28</v>
      </c>
    </row>
    <row r="82" spans="1:12" x14ac:dyDescent="0.3">
      <c r="A82" s="31" t="s">
        <v>647</v>
      </c>
      <c r="B82" s="31" t="s">
        <v>617</v>
      </c>
      <c r="C82" s="31" t="s">
        <v>154</v>
      </c>
      <c r="D82" s="31" t="s">
        <v>648</v>
      </c>
      <c r="E82" s="31" t="s">
        <v>170</v>
      </c>
      <c r="F82" s="31" t="s">
        <v>365</v>
      </c>
      <c r="G82" s="31">
        <v>1</v>
      </c>
      <c r="H82" s="31" t="s">
        <v>11</v>
      </c>
      <c r="I82" s="31" t="s">
        <v>637</v>
      </c>
      <c r="J82" s="31" t="s">
        <v>638</v>
      </c>
      <c r="K82" s="31" t="s">
        <v>639</v>
      </c>
      <c r="L82" s="31" t="s">
        <v>28</v>
      </c>
    </row>
    <row r="83" spans="1:12" x14ac:dyDescent="0.3">
      <c r="A83" s="31" t="s">
        <v>649</v>
      </c>
      <c r="B83" s="31" t="s">
        <v>617</v>
      </c>
      <c r="C83" s="31" t="s">
        <v>154</v>
      </c>
      <c r="D83" s="31" t="s">
        <v>636</v>
      </c>
      <c r="E83" s="31" t="s">
        <v>164</v>
      </c>
      <c r="F83" s="31" t="s">
        <v>365</v>
      </c>
      <c r="G83" s="31">
        <v>4</v>
      </c>
      <c r="H83" s="31" t="s">
        <v>11</v>
      </c>
      <c r="I83" s="31" t="s">
        <v>637</v>
      </c>
      <c r="J83" s="31" t="s">
        <v>650</v>
      </c>
      <c r="K83" s="31" t="s">
        <v>639</v>
      </c>
      <c r="L83" s="31" t="s">
        <v>28</v>
      </c>
    </row>
    <row r="84" spans="1:12" x14ac:dyDescent="0.3">
      <c r="A84" s="31" t="s">
        <v>651</v>
      </c>
      <c r="B84" s="31" t="s">
        <v>617</v>
      </c>
      <c r="C84" s="31" t="s">
        <v>154</v>
      </c>
      <c r="D84" s="31" t="s">
        <v>641</v>
      </c>
      <c r="E84" s="31" t="s">
        <v>166</v>
      </c>
      <c r="F84" s="31" t="s">
        <v>365</v>
      </c>
      <c r="G84" s="31">
        <v>4</v>
      </c>
      <c r="H84" s="31" t="s">
        <v>11</v>
      </c>
      <c r="I84" s="31" t="s">
        <v>637</v>
      </c>
      <c r="J84" s="31" t="s">
        <v>650</v>
      </c>
      <c r="K84" s="31" t="s">
        <v>639</v>
      </c>
      <c r="L84" s="31" t="s">
        <v>28</v>
      </c>
    </row>
    <row r="85" spans="1:12" ht="28.8" x14ac:dyDescent="0.3">
      <c r="A85" s="31" t="s">
        <v>652</v>
      </c>
      <c r="B85" s="31" t="s">
        <v>617</v>
      </c>
      <c r="C85" s="31" t="s">
        <v>154</v>
      </c>
      <c r="D85" s="31" t="s">
        <v>643</v>
      </c>
      <c r="E85" s="31" t="s">
        <v>167</v>
      </c>
      <c r="F85" s="31" t="s">
        <v>365</v>
      </c>
      <c r="G85" s="31">
        <v>12</v>
      </c>
      <c r="H85" s="31" t="s">
        <v>11</v>
      </c>
      <c r="I85" s="31" t="s">
        <v>637</v>
      </c>
      <c r="J85" s="31" t="s">
        <v>650</v>
      </c>
      <c r="K85" s="31" t="s">
        <v>644</v>
      </c>
      <c r="L85" s="31" t="s">
        <v>12</v>
      </c>
    </row>
    <row r="86" spans="1:12" x14ac:dyDescent="0.3">
      <c r="A86" s="31" t="s">
        <v>653</v>
      </c>
      <c r="B86" s="31" t="s">
        <v>617</v>
      </c>
      <c r="C86" s="31" t="s">
        <v>154</v>
      </c>
      <c r="D86" s="31" t="s">
        <v>646</v>
      </c>
      <c r="E86" s="31" t="s">
        <v>169</v>
      </c>
      <c r="F86" s="31" t="s">
        <v>365</v>
      </c>
      <c r="G86" s="31">
        <v>4</v>
      </c>
      <c r="H86" s="31" t="s">
        <v>11</v>
      </c>
      <c r="I86" s="31" t="s">
        <v>637</v>
      </c>
      <c r="J86" s="31" t="s">
        <v>650</v>
      </c>
      <c r="K86" s="31" t="s">
        <v>639</v>
      </c>
      <c r="L86" s="31" t="s">
        <v>28</v>
      </c>
    </row>
    <row r="87" spans="1:12" x14ac:dyDescent="0.3">
      <c r="A87" s="31" t="s">
        <v>654</v>
      </c>
      <c r="B87" s="31" t="s">
        <v>617</v>
      </c>
      <c r="C87" s="31" t="s">
        <v>154</v>
      </c>
      <c r="D87" s="31" t="s">
        <v>648</v>
      </c>
      <c r="E87" s="31" t="s">
        <v>170</v>
      </c>
      <c r="F87" s="31" t="s">
        <v>365</v>
      </c>
      <c r="G87" s="31">
        <v>4</v>
      </c>
      <c r="H87" s="31" t="s">
        <v>11</v>
      </c>
      <c r="I87" s="31" t="s">
        <v>637</v>
      </c>
      <c r="J87" s="31" t="s">
        <v>650</v>
      </c>
      <c r="K87" s="31" t="s">
        <v>639</v>
      </c>
      <c r="L87" s="31" t="s">
        <v>28</v>
      </c>
    </row>
    <row r="88" spans="1:12" x14ac:dyDescent="0.3">
      <c r="A88" s="31" t="s">
        <v>655</v>
      </c>
      <c r="B88" s="31" t="s">
        <v>617</v>
      </c>
      <c r="C88" s="31" t="s">
        <v>154</v>
      </c>
      <c r="D88" s="31" t="s">
        <v>636</v>
      </c>
      <c r="E88" s="31" t="s">
        <v>164</v>
      </c>
      <c r="F88" s="31" t="s">
        <v>365</v>
      </c>
      <c r="G88" s="31">
        <v>1</v>
      </c>
      <c r="H88" s="31" t="s">
        <v>11</v>
      </c>
      <c r="I88" s="31" t="s">
        <v>637</v>
      </c>
      <c r="J88" s="31" t="s">
        <v>656</v>
      </c>
      <c r="K88" s="31" t="s">
        <v>639</v>
      </c>
      <c r="L88" s="31" t="s">
        <v>28</v>
      </c>
    </row>
    <row r="89" spans="1:12" x14ac:dyDescent="0.3">
      <c r="A89" s="31" t="s">
        <v>657</v>
      </c>
      <c r="B89" s="31" t="s">
        <v>617</v>
      </c>
      <c r="C89" s="31" t="s">
        <v>154</v>
      </c>
      <c r="D89" s="31" t="s">
        <v>641</v>
      </c>
      <c r="E89" s="31" t="s">
        <v>166</v>
      </c>
      <c r="F89" s="31" t="s">
        <v>365</v>
      </c>
      <c r="G89" s="31">
        <v>1</v>
      </c>
      <c r="H89" s="31" t="s">
        <v>11</v>
      </c>
      <c r="I89" s="31" t="s">
        <v>637</v>
      </c>
      <c r="J89" s="31" t="s">
        <v>656</v>
      </c>
      <c r="K89" s="31" t="s">
        <v>639</v>
      </c>
      <c r="L89" s="31" t="s">
        <v>28</v>
      </c>
    </row>
    <row r="90" spans="1:12" ht="28.8" x14ac:dyDescent="0.3">
      <c r="A90" s="31" t="s">
        <v>658</v>
      </c>
      <c r="B90" s="31" t="s">
        <v>617</v>
      </c>
      <c r="C90" s="31" t="s">
        <v>154</v>
      </c>
      <c r="D90" s="31" t="s">
        <v>643</v>
      </c>
      <c r="E90" s="31" t="s">
        <v>167</v>
      </c>
      <c r="F90" s="31" t="s">
        <v>365</v>
      </c>
      <c r="G90" s="31">
        <v>3</v>
      </c>
      <c r="H90" s="31" t="s">
        <v>11</v>
      </c>
      <c r="I90" s="31" t="s">
        <v>637</v>
      </c>
      <c r="J90" s="31" t="s">
        <v>656</v>
      </c>
      <c r="K90" s="31" t="s">
        <v>644</v>
      </c>
      <c r="L90" s="31" t="s">
        <v>12</v>
      </c>
    </row>
    <row r="91" spans="1:12" x14ac:dyDescent="0.3">
      <c r="A91" s="31" t="s">
        <v>659</v>
      </c>
      <c r="B91" s="31" t="s">
        <v>617</v>
      </c>
      <c r="C91" s="31" t="s">
        <v>154</v>
      </c>
      <c r="D91" s="31" t="s">
        <v>646</v>
      </c>
      <c r="E91" s="31" t="s">
        <v>169</v>
      </c>
      <c r="F91" s="31" t="s">
        <v>365</v>
      </c>
      <c r="G91" s="31">
        <v>1</v>
      </c>
      <c r="H91" s="31" t="s">
        <v>11</v>
      </c>
      <c r="I91" s="31" t="s">
        <v>637</v>
      </c>
      <c r="J91" s="31" t="s">
        <v>656</v>
      </c>
      <c r="K91" s="31" t="s">
        <v>639</v>
      </c>
      <c r="L91" s="31" t="s">
        <v>28</v>
      </c>
    </row>
    <row r="92" spans="1:12" x14ac:dyDescent="0.3">
      <c r="A92" s="31" t="s">
        <v>660</v>
      </c>
      <c r="B92" s="31" t="s">
        <v>617</v>
      </c>
      <c r="C92" s="31" t="s">
        <v>154</v>
      </c>
      <c r="D92" s="31" t="s">
        <v>648</v>
      </c>
      <c r="E92" s="31" t="s">
        <v>170</v>
      </c>
      <c r="F92" s="31" t="s">
        <v>365</v>
      </c>
      <c r="G92" s="31">
        <v>1</v>
      </c>
      <c r="H92" s="31" t="s">
        <v>11</v>
      </c>
      <c r="I92" s="31" t="s">
        <v>637</v>
      </c>
      <c r="J92" s="31" t="s">
        <v>656</v>
      </c>
      <c r="K92" s="31" t="s">
        <v>639</v>
      </c>
      <c r="L92" s="31" t="s">
        <v>28</v>
      </c>
    </row>
    <row r="93" spans="1:12" x14ac:dyDescent="0.3">
      <c r="A93" s="31" t="s">
        <v>661</v>
      </c>
      <c r="B93" s="31" t="s">
        <v>617</v>
      </c>
      <c r="C93" s="31" t="s">
        <v>154</v>
      </c>
      <c r="D93" s="31" t="s">
        <v>662</v>
      </c>
      <c r="E93" s="31" t="s">
        <v>175</v>
      </c>
      <c r="F93" s="31" t="s">
        <v>365</v>
      </c>
      <c r="G93" s="31">
        <v>8</v>
      </c>
      <c r="H93" s="31" t="s">
        <v>27</v>
      </c>
      <c r="I93" s="31" t="s">
        <v>619</v>
      </c>
      <c r="J93" s="31" t="s">
        <v>663</v>
      </c>
      <c r="K93" s="31" t="s">
        <v>443</v>
      </c>
      <c r="L93" s="31" t="s">
        <v>12</v>
      </c>
    </row>
    <row r="94" spans="1:12" x14ac:dyDescent="0.3">
      <c r="A94" s="31" t="s">
        <v>664</v>
      </c>
      <c r="B94" s="31" t="s">
        <v>617</v>
      </c>
      <c r="C94" s="31" t="s">
        <v>154</v>
      </c>
      <c r="D94" s="31" t="s">
        <v>665</v>
      </c>
      <c r="E94" s="31" t="s">
        <v>177</v>
      </c>
      <c r="F94" s="31" t="s">
        <v>365</v>
      </c>
      <c r="G94" s="31">
        <v>2</v>
      </c>
      <c r="H94" s="31" t="s">
        <v>27</v>
      </c>
      <c r="I94" s="31" t="s">
        <v>619</v>
      </c>
      <c r="J94" s="31" t="s">
        <v>666</v>
      </c>
      <c r="K94" s="31" t="s">
        <v>443</v>
      </c>
      <c r="L94" s="31" t="s">
        <v>12</v>
      </c>
    </row>
    <row r="95" spans="1:12" x14ac:dyDescent="0.3">
      <c r="A95" s="31" t="s">
        <v>667</v>
      </c>
      <c r="B95" s="31" t="s">
        <v>617</v>
      </c>
      <c r="C95" s="31" t="s">
        <v>154</v>
      </c>
      <c r="D95" s="31" t="s">
        <v>668</v>
      </c>
      <c r="E95" s="31" t="s">
        <v>178</v>
      </c>
      <c r="F95" s="31" t="s">
        <v>365</v>
      </c>
      <c r="G95" s="31">
        <v>1</v>
      </c>
      <c r="H95" s="31" t="s">
        <v>27</v>
      </c>
      <c r="I95" s="31" t="s">
        <v>619</v>
      </c>
      <c r="J95" s="31" t="s">
        <v>669</v>
      </c>
      <c r="K95" s="31" t="s">
        <v>443</v>
      </c>
      <c r="L95" s="31" t="s">
        <v>12</v>
      </c>
    </row>
    <row r="96" spans="1:12" ht="28.8" x14ac:dyDescent="0.3">
      <c r="A96" s="31" t="s">
        <v>670</v>
      </c>
      <c r="B96" s="31" t="s">
        <v>617</v>
      </c>
      <c r="C96" s="31" t="s">
        <v>154</v>
      </c>
      <c r="D96" s="31" t="s">
        <v>671</v>
      </c>
      <c r="E96" s="31" t="s">
        <v>179</v>
      </c>
      <c r="F96" s="31" t="s">
        <v>308</v>
      </c>
      <c r="G96" s="31">
        <v>9.44</v>
      </c>
      <c r="H96" s="31" t="s">
        <v>11</v>
      </c>
      <c r="I96" s="31" t="s">
        <v>672</v>
      </c>
      <c r="J96" s="31" t="s">
        <v>673</v>
      </c>
      <c r="K96" s="31" t="s">
        <v>674</v>
      </c>
      <c r="L96" s="31" t="s">
        <v>12</v>
      </c>
    </row>
    <row r="97" spans="1:12" ht="28.8" x14ac:dyDescent="0.3">
      <c r="A97" s="31" t="s">
        <v>675</v>
      </c>
      <c r="B97" s="31" t="s">
        <v>617</v>
      </c>
      <c r="C97" s="31" t="s">
        <v>154</v>
      </c>
      <c r="D97" s="31" t="s">
        <v>676</v>
      </c>
      <c r="E97" s="31" t="s">
        <v>181</v>
      </c>
      <c r="F97" s="31" t="s">
        <v>308</v>
      </c>
      <c r="G97" s="31">
        <v>9.44</v>
      </c>
      <c r="H97" s="31" t="s">
        <v>11</v>
      </c>
      <c r="I97" s="31" t="s">
        <v>672</v>
      </c>
      <c r="J97" s="31" t="s">
        <v>673</v>
      </c>
      <c r="K97" s="31" t="s">
        <v>674</v>
      </c>
      <c r="L97" s="31" t="s">
        <v>12</v>
      </c>
    </row>
    <row r="98" spans="1:12" ht="28.8" x14ac:dyDescent="0.3">
      <c r="A98" s="31" t="s">
        <v>677</v>
      </c>
      <c r="B98" s="31" t="s">
        <v>617</v>
      </c>
      <c r="C98" s="31" t="s">
        <v>154</v>
      </c>
      <c r="D98" s="31" t="s">
        <v>678</v>
      </c>
      <c r="E98" s="31" t="s">
        <v>183</v>
      </c>
      <c r="F98" s="31" t="s">
        <v>365</v>
      </c>
      <c r="G98" s="31">
        <v>64</v>
      </c>
      <c r="H98" s="31" t="s">
        <v>11</v>
      </c>
      <c r="I98" s="31" t="s">
        <v>679</v>
      </c>
      <c r="J98" s="31" t="s">
        <v>680</v>
      </c>
      <c r="K98" s="31" t="s">
        <v>681</v>
      </c>
      <c r="L98" s="31" t="s">
        <v>41</v>
      </c>
    </row>
    <row r="99" spans="1:12" ht="28.8" x14ac:dyDescent="0.3">
      <c r="A99" s="31" t="s">
        <v>682</v>
      </c>
      <c r="B99" s="31" t="s">
        <v>617</v>
      </c>
      <c r="C99" s="31" t="s">
        <v>154</v>
      </c>
      <c r="D99" s="31" t="s">
        <v>683</v>
      </c>
      <c r="E99" s="31" t="s">
        <v>179</v>
      </c>
      <c r="F99" s="31" t="s">
        <v>308</v>
      </c>
      <c r="G99" s="31">
        <v>1.8</v>
      </c>
      <c r="H99" s="31" t="s">
        <v>11</v>
      </c>
      <c r="I99" s="31" t="s">
        <v>684</v>
      </c>
      <c r="J99" s="31" t="s">
        <v>685</v>
      </c>
      <c r="K99" s="31" t="s">
        <v>686</v>
      </c>
      <c r="L99" s="31" t="s">
        <v>12</v>
      </c>
    </row>
    <row r="100" spans="1:12" ht="28.8" x14ac:dyDescent="0.3">
      <c r="A100" s="31" t="s">
        <v>687</v>
      </c>
      <c r="B100" s="31" t="s">
        <v>617</v>
      </c>
      <c r="C100" s="31" t="s">
        <v>154</v>
      </c>
      <c r="D100" s="31" t="s">
        <v>688</v>
      </c>
      <c r="E100" s="31" t="s">
        <v>181</v>
      </c>
      <c r="F100" s="31" t="s">
        <v>308</v>
      </c>
      <c r="G100" s="31">
        <v>1.8</v>
      </c>
      <c r="H100" s="31" t="s">
        <v>11</v>
      </c>
      <c r="I100" s="31" t="s">
        <v>684</v>
      </c>
      <c r="J100" s="31" t="s">
        <v>685</v>
      </c>
      <c r="K100" s="31" t="s">
        <v>686</v>
      </c>
      <c r="L100" s="31" t="s">
        <v>12</v>
      </c>
    </row>
    <row r="101" spans="1:12" ht="28.8" x14ac:dyDescent="0.3">
      <c r="A101" s="31" t="s">
        <v>689</v>
      </c>
      <c r="B101" s="31" t="s">
        <v>617</v>
      </c>
      <c r="C101" s="31" t="s">
        <v>154</v>
      </c>
      <c r="D101" s="31" t="s">
        <v>690</v>
      </c>
      <c r="E101" s="31" t="s">
        <v>185</v>
      </c>
      <c r="F101" s="31" t="s">
        <v>365</v>
      </c>
      <c r="G101" s="31">
        <v>16</v>
      </c>
      <c r="H101" s="31" t="s">
        <v>11</v>
      </c>
      <c r="I101" s="31" t="s">
        <v>691</v>
      </c>
      <c r="J101" s="31" t="s">
        <v>692</v>
      </c>
      <c r="K101" s="31" t="s">
        <v>693</v>
      </c>
      <c r="L101" s="31" t="s">
        <v>41</v>
      </c>
    </row>
    <row r="102" spans="1:12" ht="28.8" x14ac:dyDescent="0.3">
      <c r="A102" s="31" t="s">
        <v>694</v>
      </c>
      <c r="B102" s="31" t="s">
        <v>617</v>
      </c>
      <c r="C102" s="31" t="s">
        <v>154</v>
      </c>
      <c r="D102" s="31" t="s">
        <v>695</v>
      </c>
      <c r="E102" s="31" t="s">
        <v>179</v>
      </c>
      <c r="F102" s="31" t="s">
        <v>308</v>
      </c>
      <c r="G102" s="31">
        <v>1.95</v>
      </c>
      <c r="H102" s="31" t="s">
        <v>11</v>
      </c>
      <c r="I102" s="31" t="s">
        <v>696</v>
      </c>
      <c r="J102" s="31" t="s">
        <v>697</v>
      </c>
      <c r="K102" s="31" t="s">
        <v>698</v>
      </c>
      <c r="L102" s="31" t="s">
        <v>12</v>
      </c>
    </row>
    <row r="103" spans="1:12" ht="28.8" x14ac:dyDescent="0.3">
      <c r="A103" s="31" t="s">
        <v>699</v>
      </c>
      <c r="B103" s="31" t="s">
        <v>617</v>
      </c>
      <c r="C103" s="31" t="s">
        <v>154</v>
      </c>
      <c r="D103" s="31" t="s">
        <v>700</v>
      </c>
      <c r="E103" s="31" t="s">
        <v>181</v>
      </c>
      <c r="F103" s="31" t="s">
        <v>308</v>
      </c>
      <c r="G103" s="31">
        <v>1.95</v>
      </c>
      <c r="H103" s="31" t="s">
        <v>11</v>
      </c>
      <c r="I103" s="31" t="s">
        <v>696</v>
      </c>
      <c r="J103" s="31" t="s">
        <v>697</v>
      </c>
      <c r="K103" s="31" t="s">
        <v>698</v>
      </c>
      <c r="L103" s="31" t="s">
        <v>12</v>
      </c>
    </row>
    <row r="104" spans="1:12" ht="28.8" x14ac:dyDescent="0.3">
      <c r="A104" s="31" t="s">
        <v>701</v>
      </c>
      <c r="B104" s="31" t="s">
        <v>617</v>
      </c>
      <c r="C104" s="31" t="s">
        <v>154</v>
      </c>
      <c r="D104" s="31" t="s">
        <v>702</v>
      </c>
      <c r="E104" s="31" t="s">
        <v>186</v>
      </c>
      <c r="F104" s="31" t="s">
        <v>365</v>
      </c>
      <c r="G104" s="31">
        <v>8</v>
      </c>
      <c r="H104" s="31" t="s">
        <v>11</v>
      </c>
      <c r="I104" s="31" t="s">
        <v>703</v>
      </c>
      <c r="J104" s="31" t="s">
        <v>704</v>
      </c>
      <c r="K104" s="31" t="s">
        <v>705</v>
      </c>
      <c r="L104" s="31" t="s">
        <v>41</v>
      </c>
    </row>
    <row r="105" spans="1:12" x14ac:dyDescent="0.3">
      <c r="A105" s="31" t="s">
        <v>706</v>
      </c>
      <c r="B105" s="31" t="s">
        <v>617</v>
      </c>
      <c r="C105" s="31" t="s">
        <v>154</v>
      </c>
      <c r="D105" s="31" t="s">
        <v>707</v>
      </c>
      <c r="E105" s="31" t="s">
        <v>187</v>
      </c>
      <c r="F105" s="31" t="s">
        <v>365</v>
      </c>
      <c r="G105" s="31">
        <v>8</v>
      </c>
      <c r="H105" s="31" t="s">
        <v>11</v>
      </c>
      <c r="I105" s="31" t="s">
        <v>708</v>
      </c>
      <c r="J105" s="31" t="s">
        <v>709</v>
      </c>
      <c r="K105" s="31" t="s">
        <v>710</v>
      </c>
      <c r="L105" s="31" t="s">
        <v>12</v>
      </c>
    </row>
    <row r="106" spans="1:12" x14ac:dyDescent="0.3">
      <c r="A106" s="31" t="s">
        <v>711</v>
      </c>
      <c r="B106" s="31" t="s">
        <v>617</v>
      </c>
      <c r="C106" s="31" t="s">
        <v>154</v>
      </c>
      <c r="D106" s="31" t="s">
        <v>712</v>
      </c>
      <c r="E106" s="31" t="s">
        <v>189</v>
      </c>
      <c r="F106" s="31" t="s">
        <v>365</v>
      </c>
      <c r="G106" s="31">
        <v>8</v>
      </c>
      <c r="H106" s="31" t="s">
        <v>11</v>
      </c>
      <c r="I106" s="31" t="s">
        <v>708</v>
      </c>
      <c r="J106" s="31" t="s">
        <v>709</v>
      </c>
      <c r="K106" s="31" t="s">
        <v>710</v>
      </c>
      <c r="L106" s="31" t="s">
        <v>12</v>
      </c>
    </row>
    <row r="107" spans="1:12" x14ac:dyDescent="0.3">
      <c r="A107" s="31" t="s">
        <v>713</v>
      </c>
      <c r="B107" s="31" t="s">
        <v>617</v>
      </c>
      <c r="C107" s="31" t="s">
        <v>154</v>
      </c>
      <c r="D107" s="31" t="s">
        <v>714</v>
      </c>
      <c r="E107" s="31" t="s">
        <v>190</v>
      </c>
      <c r="F107" s="31" t="s">
        <v>365</v>
      </c>
      <c r="G107" s="31">
        <v>8</v>
      </c>
      <c r="H107" s="31" t="s">
        <v>11</v>
      </c>
      <c r="I107" s="31" t="s">
        <v>708</v>
      </c>
      <c r="J107" s="31" t="s">
        <v>709</v>
      </c>
      <c r="K107" s="31" t="s">
        <v>710</v>
      </c>
      <c r="L107" s="31" t="s">
        <v>12</v>
      </c>
    </row>
    <row r="108" spans="1:12" x14ac:dyDescent="0.3">
      <c r="A108" s="31" t="s">
        <v>715</v>
      </c>
      <c r="B108" s="31" t="s">
        <v>617</v>
      </c>
      <c r="C108" s="31" t="s">
        <v>154</v>
      </c>
      <c r="D108" s="31" t="s">
        <v>707</v>
      </c>
      <c r="E108" s="31" t="s">
        <v>187</v>
      </c>
      <c r="F108" s="31" t="s">
        <v>365</v>
      </c>
      <c r="G108" s="31">
        <v>2</v>
      </c>
      <c r="H108" s="31" t="s">
        <v>11</v>
      </c>
      <c r="I108" s="31" t="s">
        <v>708</v>
      </c>
      <c r="J108" s="31" t="s">
        <v>716</v>
      </c>
      <c r="K108" s="31" t="s">
        <v>710</v>
      </c>
      <c r="L108" s="31" t="s">
        <v>12</v>
      </c>
    </row>
    <row r="109" spans="1:12" x14ac:dyDescent="0.3">
      <c r="A109" s="31" t="s">
        <v>717</v>
      </c>
      <c r="B109" s="31" t="s">
        <v>617</v>
      </c>
      <c r="C109" s="31" t="s">
        <v>154</v>
      </c>
      <c r="D109" s="31" t="s">
        <v>712</v>
      </c>
      <c r="E109" s="31" t="s">
        <v>189</v>
      </c>
      <c r="F109" s="31" t="s">
        <v>365</v>
      </c>
      <c r="G109" s="31">
        <v>2</v>
      </c>
      <c r="H109" s="31" t="s">
        <v>11</v>
      </c>
      <c r="I109" s="31" t="s">
        <v>708</v>
      </c>
      <c r="J109" s="31" t="s">
        <v>716</v>
      </c>
      <c r="K109" s="31" t="s">
        <v>710</v>
      </c>
      <c r="L109" s="31" t="s">
        <v>12</v>
      </c>
    </row>
    <row r="110" spans="1:12" x14ac:dyDescent="0.3">
      <c r="A110" s="31" t="s">
        <v>718</v>
      </c>
      <c r="B110" s="31" t="s">
        <v>617</v>
      </c>
      <c r="C110" s="31" t="s">
        <v>154</v>
      </c>
      <c r="D110" s="31" t="s">
        <v>714</v>
      </c>
      <c r="E110" s="31" t="s">
        <v>190</v>
      </c>
      <c r="F110" s="31" t="s">
        <v>365</v>
      </c>
      <c r="G110" s="31">
        <v>2</v>
      </c>
      <c r="H110" s="31" t="s">
        <v>11</v>
      </c>
      <c r="I110" s="31" t="s">
        <v>708</v>
      </c>
      <c r="J110" s="31" t="s">
        <v>716</v>
      </c>
      <c r="K110" s="31" t="s">
        <v>710</v>
      </c>
      <c r="L110" s="31" t="s">
        <v>12</v>
      </c>
    </row>
    <row r="111" spans="1:12" x14ac:dyDescent="0.3">
      <c r="A111" s="31" t="s">
        <v>719</v>
      </c>
      <c r="B111" s="31" t="s">
        <v>617</v>
      </c>
      <c r="C111" s="31" t="s">
        <v>154</v>
      </c>
      <c r="D111" s="31" t="s">
        <v>707</v>
      </c>
      <c r="E111" s="31" t="s">
        <v>187</v>
      </c>
      <c r="F111" s="31" t="s">
        <v>365</v>
      </c>
      <c r="G111" s="31">
        <v>1</v>
      </c>
      <c r="H111" s="31" t="s">
        <v>11</v>
      </c>
      <c r="I111" s="31" t="s">
        <v>708</v>
      </c>
      <c r="J111" s="31" t="s">
        <v>720</v>
      </c>
      <c r="K111" s="31" t="s">
        <v>710</v>
      </c>
      <c r="L111" s="31" t="s">
        <v>12</v>
      </c>
    </row>
    <row r="112" spans="1:12" x14ac:dyDescent="0.3">
      <c r="A112" s="31" t="s">
        <v>721</v>
      </c>
      <c r="B112" s="31" t="s">
        <v>617</v>
      </c>
      <c r="C112" s="31" t="s">
        <v>154</v>
      </c>
      <c r="D112" s="31" t="s">
        <v>712</v>
      </c>
      <c r="E112" s="31" t="s">
        <v>189</v>
      </c>
      <c r="F112" s="31" t="s">
        <v>365</v>
      </c>
      <c r="G112" s="31">
        <v>1</v>
      </c>
      <c r="H112" s="31" t="s">
        <v>11</v>
      </c>
      <c r="I112" s="31" t="s">
        <v>708</v>
      </c>
      <c r="J112" s="31" t="s">
        <v>720</v>
      </c>
      <c r="K112" s="31" t="s">
        <v>710</v>
      </c>
      <c r="L112" s="31" t="s">
        <v>12</v>
      </c>
    </row>
    <row r="113" spans="1:12" x14ac:dyDescent="0.3">
      <c r="A113" s="31" t="s">
        <v>722</v>
      </c>
      <c r="B113" s="31" t="s">
        <v>617</v>
      </c>
      <c r="C113" s="31" t="s">
        <v>154</v>
      </c>
      <c r="D113" s="31" t="s">
        <v>714</v>
      </c>
      <c r="E113" s="31" t="s">
        <v>190</v>
      </c>
      <c r="F113" s="31" t="s">
        <v>365</v>
      </c>
      <c r="G113" s="31">
        <v>1</v>
      </c>
      <c r="H113" s="31" t="s">
        <v>11</v>
      </c>
      <c r="I113" s="31" t="s">
        <v>708</v>
      </c>
      <c r="J113" s="31" t="s">
        <v>720</v>
      </c>
      <c r="K113" s="31" t="s">
        <v>710</v>
      </c>
      <c r="L113" s="31" t="s">
        <v>12</v>
      </c>
    </row>
    <row r="114" spans="1:12" ht="28.8" x14ac:dyDescent="0.3">
      <c r="A114" s="31" t="s">
        <v>723</v>
      </c>
      <c r="B114" s="31" t="s">
        <v>617</v>
      </c>
      <c r="C114" s="31" t="s">
        <v>154</v>
      </c>
      <c r="D114" s="31" t="s">
        <v>724</v>
      </c>
      <c r="E114" s="31" t="s">
        <v>193</v>
      </c>
      <c r="F114" s="31" t="s">
        <v>314</v>
      </c>
      <c r="G114" s="31">
        <v>6.48</v>
      </c>
      <c r="H114" s="31" t="s">
        <v>11</v>
      </c>
      <c r="I114" s="31" t="s">
        <v>725</v>
      </c>
      <c r="J114" s="31" t="s">
        <v>726</v>
      </c>
      <c r="K114" s="31" t="s">
        <v>727</v>
      </c>
      <c r="L114" s="31" t="s">
        <v>41</v>
      </c>
    </row>
    <row r="115" spans="1:12" ht="28.8" x14ac:dyDescent="0.3">
      <c r="A115" s="31" t="s">
        <v>728</v>
      </c>
      <c r="B115" s="31" t="s">
        <v>617</v>
      </c>
      <c r="C115" s="31" t="s">
        <v>154</v>
      </c>
      <c r="D115" s="31" t="s">
        <v>729</v>
      </c>
      <c r="E115" s="31" t="s">
        <v>195</v>
      </c>
      <c r="F115" s="31" t="s">
        <v>314</v>
      </c>
      <c r="G115" s="31">
        <v>1.2</v>
      </c>
      <c r="H115" s="31" t="s">
        <v>11</v>
      </c>
      <c r="I115" s="31" t="s">
        <v>730</v>
      </c>
      <c r="J115" s="31" t="s">
        <v>731</v>
      </c>
      <c r="K115" s="31" t="s">
        <v>732</v>
      </c>
      <c r="L115" s="31" t="s">
        <v>41</v>
      </c>
    </row>
    <row r="116" spans="1:12" ht="28.8" x14ac:dyDescent="0.3">
      <c r="A116" s="31" t="s">
        <v>733</v>
      </c>
      <c r="B116" s="31" t="s">
        <v>617</v>
      </c>
      <c r="C116" s="31" t="s">
        <v>154</v>
      </c>
      <c r="D116" s="31" t="s">
        <v>734</v>
      </c>
      <c r="E116" s="31" t="s">
        <v>197</v>
      </c>
      <c r="F116" s="31" t="s">
        <v>314</v>
      </c>
      <c r="G116" s="31">
        <v>1.39</v>
      </c>
      <c r="H116" s="31" t="s">
        <v>11</v>
      </c>
      <c r="I116" s="31" t="s">
        <v>735</v>
      </c>
      <c r="J116" s="31" t="s">
        <v>736</v>
      </c>
      <c r="K116" s="31" t="s">
        <v>737</v>
      </c>
      <c r="L116" s="31" t="s">
        <v>41</v>
      </c>
    </row>
    <row r="117" spans="1:12" ht="28.8" x14ac:dyDescent="0.3">
      <c r="A117" s="31" t="s">
        <v>738</v>
      </c>
      <c r="B117" s="31" t="s">
        <v>617</v>
      </c>
      <c r="C117" s="31" t="s">
        <v>154</v>
      </c>
      <c r="D117" s="31" t="s">
        <v>739</v>
      </c>
      <c r="E117" s="31" t="s">
        <v>199</v>
      </c>
      <c r="F117" s="31" t="s">
        <v>365</v>
      </c>
      <c r="G117" s="31">
        <v>1</v>
      </c>
      <c r="H117" s="31" t="s">
        <v>46</v>
      </c>
      <c r="I117" s="31" t="s">
        <v>740</v>
      </c>
      <c r="J117" s="31" t="s">
        <v>741</v>
      </c>
      <c r="K117" s="31" t="s">
        <v>742</v>
      </c>
      <c r="L117" s="31" t="s">
        <v>12</v>
      </c>
    </row>
    <row r="118" spans="1:12" x14ac:dyDescent="0.3">
      <c r="A118" s="31" t="s">
        <v>743</v>
      </c>
      <c r="B118" s="31" t="s">
        <v>617</v>
      </c>
      <c r="C118" s="31" t="s">
        <v>154</v>
      </c>
      <c r="D118" s="31" t="s">
        <v>744</v>
      </c>
      <c r="E118" s="31" t="s">
        <v>201</v>
      </c>
      <c r="F118" s="31" t="s">
        <v>308</v>
      </c>
      <c r="G118" s="31">
        <v>36</v>
      </c>
      <c r="H118" s="31" t="s">
        <v>11</v>
      </c>
      <c r="I118" s="31" t="s">
        <v>745</v>
      </c>
      <c r="J118" s="31" t="s">
        <v>202</v>
      </c>
      <c r="K118" s="31" t="s">
        <v>746</v>
      </c>
      <c r="L118" s="31" t="s">
        <v>12</v>
      </c>
    </row>
    <row r="119" spans="1:12" ht="28.8" x14ac:dyDescent="0.3">
      <c r="A119" s="31" t="s">
        <v>747</v>
      </c>
      <c r="B119" s="31" t="s">
        <v>617</v>
      </c>
      <c r="C119" s="31" t="s">
        <v>154</v>
      </c>
      <c r="D119" s="31" t="s">
        <v>748</v>
      </c>
      <c r="E119" s="31" t="s">
        <v>201</v>
      </c>
      <c r="F119" s="31" t="s">
        <v>308</v>
      </c>
      <c r="G119" s="31">
        <v>52.8</v>
      </c>
      <c r="H119" s="31" t="s">
        <v>11</v>
      </c>
      <c r="I119" s="31" t="s">
        <v>749</v>
      </c>
      <c r="J119" s="31" t="s">
        <v>203</v>
      </c>
      <c r="K119" s="31" t="s">
        <v>750</v>
      </c>
      <c r="L119" s="31" t="s">
        <v>12</v>
      </c>
    </row>
    <row r="120" spans="1:12" ht="28.8" x14ac:dyDescent="0.3">
      <c r="A120" s="31" t="s">
        <v>751</v>
      </c>
      <c r="B120" s="31" t="s">
        <v>752</v>
      </c>
      <c r="C120" s="31" t="s">
        <v>204</v>
      </c>
      <c r="D120" s="31" t="s">
        <v>753</v>
      </c>
      <c r="E120" s="31" t="s">
        <v>205</v>
      </c>
      <c r="F120" s="31" t="s">
        <v>406</v>
      </c>
      <c r="G120" s="31">
        <v>27</v>
      </c>
      <c r="H120" s="31" t="s">
        <v>11</v>
      </c>
      <c r="I120" s="31" t="s">
        <v>754</v>
      </c>
      <c r="J120" s="31" t="s">
        <v>755</v>
      </c>
      <c r="K120" s="31" t="s">
        <v>756</v>
      </c>
      <c r="L120" s="31" t="s">
        <v>12</v>
      </c>
    </row>
    <row r="121" spans="1:12" ht="28.8" x14ac:dyDescent="0.3">
      <c r="A121" s="31" t="s">
        <v>757</v>
      </c>
      <c r="B121" s="31" t="s">
        <v>752</v>
      </c>
      <c r="C121" s="31" t="s">
        <v>204</v>
      </c>
      <c r="D121" s="31" t="s">
        <v>758</v>
      </c>
      <c r="E121" s="31" t="s">
        <v>207</v>
      </c>
      <c r="F121" s="31" t="s">
        <v>412</v>
      </c>
      <c r="G121" s="31">
        <v>11</v>
      </c>
      <c r="H121" s="31" t="s">
        <v>11</v>
      </c>
      <c r="I121" s="31" t="s">
        <v>759</v>
      </c>
      <c r="J121" s="31" t="s">
        <v>760</v>
      </c>
      <c r="K121" s="31" t="s">
        <v>761</v>
      </c>
      <c r="L121" s="31" t="s">
        <v>41</v>
      </c>
    </row>
    <row r="122" spans="1:12" ht="28.8" x14ac:dyDescent="0.3">
      <c r="A122" s="31" t="s">
        <v>762</v>
      </c>
      <c r="B122" s="31" t="s">
        <v>752</v>
      </c>
      <c r="C122" s="31" t="s">
        <v>204</v>
      </c>
      <c r="D122" s="31" t="s">
        <v>763</v>
      </c>
      <c r="E122" s="31" t="s">
        <v>209</v>
      </c>
      <c r="F122" s="31" t="s">
        <v>406</v>
      </c>
      <c r="G122" s="31">
        <v>41</v>
      </c>
      <c r="H122" s="31" t="s">
        <v>11</v>
      </c>
      <c r="I122" s="31" t="s">
        <v>764</v>
      </c>
      <c r="J122" s="31" t="s">
        <v>765</v>
      </c>
      <c r="K122" s="31" t="s">
        <v>766</v>
      </c>
      <c r="L122" s="31" t="s">
        <v>28</v>
      </c>
    </row>
    <row r="123" spans="1:12" ht="28.8" x14ac:dyDescent="0.3">
      <c r="A123" s="31" t="s">
        <v>767</v>
      </c>
      <c r="B123" s="31" t="s">
        <v>752</v>
      </c>
      <c r="C123" s="31" t="s">
        <v>204</v>
      </c>
      <c r="D123" s="31" t="s">
        <v>768</v>
      </c>
      <c r="E123" s="31" t="s">
        <v>211</v>
      </c>
      <c r="F123" s="31" t="s">
        <v>412</v>
      </c>
      <c r="G123" s="31">
        <v>16</v>
      </c>
      <c r="H123" s="31" t="s">
        <v>11</v>
      </c>
      <c r="I123" s="31" t="s">
        <v>769</v>
      </c>
      <c r="J123" s="31" t="s">
        <v>770</v>
      </c>
      <c r="K123" s="31" t="s">
        <v>761</v>
      </c>
      <c r="L123" s="31" t="s">
        <v>41</v>
      </c>
    </row>
    <row r="124" spans="1:12" ht="28.8" x14ac:dyDescent="0.3">
      <c r="A124" s="31" t="s">
        <v>771</v>
      </c>
      <c r="B124" s="31" t="s">
        <v>752</v>
      </c>
      <c r="C124" s="31" t="s">
        <v>204</v>
      </c>
      <c r="D124" s="31" t="s">
        <v>772</v>
      </c>
      <c r="E124" s="31" t="s">
        <v>213</v>
      </c>
      <c r="F124" s="31" t="s">
        <v>308</v>
      </c>
      <c r="G124" s="31">
        <v>117.6</v>
      </c>
      <c r="H124" s="31" t="s">
        <v>11</v>
      </c>
      <c r="I124" s="31" t="s">
        <v>773</v>
      </c>
      <c r="J124" s="31" t="s">
        <v>774</v>
      </c>
      <c r="K124" s="31" t="s">
        <v>775</v>
      </c>
      <c r="L124" s="31" t="s">
        <v>41</v>
      </c>
    </row>
    <row r="125" spans="1:12" ht="28.8" x14ac:dyDescent="0.3">
      <c r="A125" s="31" t="s">
        <v>776</v>
      </c>
      <c r="B125" s="31" t="s">
        <v>752</v>
      </c>
      <c r="C125" s="31" t="s">
        <v>204</v>
      </c>
      <c r="D125" s="31" t="s">
        <v>777</v>
      </c>
      <c r="E125" s="31" t="s">
        <v>215</v>
      </c>
      <c r="F125" s="31" t="s">
        <v>406</v>
      </c>
      <c r="G125" s="31">
        <v>7</v>
      </c>
      <c r="H125" s="31" t="s">
        <v>46</v>
      </c>
      <c r="I125" s="31" t="s">
        <v>778</v>
      </c>
      <c r="J125" s="31" t="s">
        <v>779</v>
      </c>
      <c r="K125" s="31" t="s">
        <v>780</v>
      </c>
      <c r="L125" s="31" t="s">
        <v>41</v>
      </c>
    </row>
    <row r="126" spans="1:12" ht="28.8" x14ac:dyDescent="0.3">
      <c r="A126" s="31" t="s">
        <v>781</v>
      </c>
      <c r="B126" s="31" t="s">
        <v>752</v>
      </c>
      <c r="C126" s="31" t="s">
        <v>204</v>
      </c>
      <c r="D126" s="31" t="s">
        <v>782</v>
      </c>
      <c r="E126" s="31" t="s">
        <v>218</v>
      </c>
      <c r="F126" s="31" t="s">
        <v>406</v>
      </c>
      <c r="G126" s="31">
        <v>24</v>
      </c>
      <c r="H126" s="31" t="s">
        <v>11</v>
      </c>
      <c r="I126" s="31" t="s">
        <v>783</v>
      </c>
      <c r="J126" s="31" t="s">
        <v>784</v>
      </c>
      <c r="K126" s="31" t="s">
        <v>409</v>
      </c>
      <c r="L126" s="31" t="s">
        <v>12</v>
      </c>
    </row>
    <row r="127" spans="1:12" x14ac:dyDescent="0.3">
      <c r="A127" s="31" t="s">
        <v>785</v>
      </c>
      <c r="B127" s="31" t="s">
        <v>752</v>
      </c>
      <c r="C127" s="31" t="s">
        <v>204</v>
      </c>
      <c r="D127" s="31" t="s">
        <v>786</v>
      </c>
      <c r="E127" s="31" t="s">
        <v>40</v>
      </c>
      <c r="F127" s="31" t="s">
        <v>308</v>
      </c>
      <c r="G127" s="31">
        <v>162</v>
      </c>
      <c r="H127" s="31" t="s">
        <v>11</v>
      </c>
      <c r="I127" s="31" t="s">
        <v>787</v>
      </c>
      <c r="J127" s="31" t="s">
        <v>784</v>
      </c>
      <c r="K127" s="31" t="s">
        <v>788</v>
      </c>
      <c r="L127" s="31" t="s">
        <v>12</v>
      </c>
    </row>
    <row r="128" spans="1:12" ht="28.8" x14ac:dyDescent="0.3">
      <c r="A128" s="31" t="s">
        <v>789</v>
      </c>
      <c r="B128" s="31" t="s">
        <v>752</v>
      </c>
      <c r="C128" s="31" t="s">
        <v>204</v>
      </c>
      <c r="D128" s="31" t="s">
        <v>790</v>
      </c>
      <c r="E128" s="31" t="s">
        <v>219</v>
      </c>
      <c r="F128" s="31" t="s">
        <v>412</v>
      </c>
      <c r="G128" s="31">
        <v>7</v>
      </c>
      <c r="H128" s="31" t="s">
        <v>11</v>
      </c>
      <c r="I128" s="31" t="s">
        <v>791</v>
      </c>
      <c r="J128" s="31" t="s">
        <v>792</v>
      </c>
      <c r="K128" s="31" t="s">
        <v>793</v>
      </c>
      <c r="L128" s="31" t="s">
        <v>41</v>
      </c>
    </row>
    <row r="129" spans="1:12" ht="28.8" x14ac:dyDescent="0.3">
      <c r="A129" s="31" t="s">
        <v>794</v>
      </c>
      <c r="B129" s="31" t="s">
        <v>752</v>
      </c>
      <c r="C129" s="31" t="s">
        <v>204</v>
      </c>
      <c r="D129" s="31" t="s">
        <v>221</v>
      </c>
      <c r="E129" s="31" t="s">
        <v>221</v>
      </c>
      <c r="F129" s="31" t="s">
        <v>406</v>
      </c>
      <c r="G129" s="31">
        <v>8</v>
      </c>
      <c r="H129" s="31" t="s">
        <v>11</v>
      </c>
      <c r="I129" s="31" t="s">
        <v>795</v>
      </c>
      <c r="J129" s="31" t="s">
        <v>796</v>
      </c>
      <c r="K129" s="31" t="s">
        <v>797</v>
      </c>
      <c r="L129" s="31" t="s">
        <v>28</v>
      </c>
    </row>
    <row r="130" spans="1:12" ht="28.8" x14ac:dyDescent="0.3">
      <c r="A130" s="31" t="s">
        <v>798</v>
      </c>
      <c r="B130" s="31" t="s">
        <v>752</v>
      </c>
      <c r="C130" s="31" t="s">
        <v>204</v>
      </c>
      <c r="D130" s="31" t="s">
        <v>223</v>
      </c>
      <c r="E130" s="31" t="s">
        <v>223</v>
      </c>
      <c r="F130" s="31" t="s">
        <v>308</v>
      </c>
      <c r="G130" s="31">
        <v>54</v>
      </c>
      <c r="H130" s="31" t="s">
        <v>11</v>
      </c>
      <c r="I130" s="31" t="s">
        <v>799</v>
      </c>
      <c r="J130" s="31" t="s">
        <v>800</v>
      </c>
      <c r="K130" s="31" t="s">
        <v>801</v>
      </c>
      <c r="L130" s="31" t="s">
        <v>12</v>
      </c>
    </row>
    <row r="131" spans="1:12" x14ac:dyDescent="0.3">
      <c r="A131" s="31" t="s">
        <v>802</v>
      </c>
      <c r="B131" s="31" t="s">
        <v>752</v>
      </c>
      <c r="C131" s="31" t="s">
        <v>204</v>
      </c>
      <c r="D131" s="31" t="s">
        <v>803</v>
      </c>
      <c r="E131" s="31" t="s">
        <v>225</v>
      </c>
      <c r="F131" s="31" t="s">
        <v>308</v>
      </c>
      <c r="G131" s="31">
        <v>38.4</v>
      </c>
      <c r="H131" s="31" t="s">
        <v>11</v>
      </c>
      <c r="I131" s="31" t="e">
        <f>ext_wall_perimeter (all internal faces of external walls)</f>
        <v>#NAME?</v>
      </c>
      <c r="J131" s="31" t="s">
        <v>804</v>
      </c>
      <c r="K131" s="31" t="s">
        <v>805</v>
      </c>
      <c r="L131" s="31" t="s">
        <v>12</v>
      </c>
    </row>
    <row r="132" spans="1:12" x14ac:dyDescent="0.3">
      <c r="A132" s="31" t="s">
        <v>806</v>
      </c>
      <c r="B132" s="31" t="s">
        <v>807</v>
      </c>
      <c r="C132" s="31" t="s">
        <v>227</v>
      </c>
      <c r="D132" s="31" t="s">
        <v>808</v>
      </c>
      <c r="E132" s="31" t="s">
        <v>228</v>
      </c>
      <c r="F132" s="31" t="s">
        <v>365</v>
      </c>
      <c r="G132" s="31">
        <v>1</v>
      </c>
      <c r="H132" s="31" t="s">
        <v>46</v>
      </c>
      <c r="I132" s="31" t="s">
        <v>809</v>
      </c>
      <c r="J132" s="31" t="s">
        <v>810</v>
      </c>
      <c r="K132" s="31" t="s">
        <v>811</v>
      </c>
      <c r="L132" s="31" t="s">
        <v>41</v>
      </c>
    </row>
    <row r="133" spans="1:12" x14ac:dyDescent="0.3">
      <c r="A133" s="31" t="s">
        <v>812</v>
      </c>
      <c r="B133" s="31" t="s">
        <v>807</v>
      </c>
      <c r="C133" s="31" t="s">
        <v>227</v>
      </c>
      <c r="D133" s="31" t="s">
        <v>813</v>
      </c>
      <c r="E133" s="31" t="s">
        <v>231</v>
      </c>
      <c r="F133" s="31" t="s">
        <v>814</v>
      </c>
      <c r="G133" s="31">
        <v>1</v>
      </c>
      <c r="H133" s="31" t="s">
        <v>46</v>
      </c>
      <c r="I133" s="31" t="s">
        <v>809</v>
      </c>
      <c r="J133" s="31" t="s">
        <v>810</v>
      </c>
      <c r="K133" s="31" t="s">
        <v>815</v>
      </c>
      <c r="L133" s="31" t="s">
        <v>41</v>
      </c>
    </row>
    <row r="134" spans="1:12" ht="28.8" x14ac:dyDescent="0.3">
      <c r="A134" s="31" t="s">
        <v>816</v>
      </c>
      <c r="B134" s="31" t="s">
        <v>807</v>
      </c>
      <c r="C134" s="31" t="s">
        <v>227</v>
      </c>
      <c r="D134" s="31" t="s">
        <v>817</v>
      </c>
      <c r="E134" s="31" t="s">
        <v>232</v>
      </c>
      <c r="F134" s="31" t="s">
        <v>498</v>
      </c>
      <c r="G134" s="31">
        <v>1</v>
      </c>
      <c r="H134" s="31" t="s">
        <v>46</v>
      </c>
      <c r="I134" s="31" t="s">
        <v>809</v>
      </c>
      <c r="J134" s="31" t="s">
        <v>810</v>
      </c>
      <c r="K134" s="31" t="s">
        <v>818</v>
      </c>
      <c r="L134" s="31" t="s">
        <v>41</v>
      </c>
    </row>
    <row r="135" spans="1:12" ht="28.8" x14ac:dyDescent="0.3">
      <c r="A135" s="31" t="s">
        <v>819</v>
      </c>
      <c r="B135" s="31" t="s">
        <v>807</v>
      </c>
      <c r="C135" s="31" t="s">
        <v>227</v>
      </c>
      <c r="D135" s="31" t="s">
        <v>820</v>
      </c>
      <c r="E135" s="31" t="s">
        <v>233</v>
      </c>
      <c r="F135" s="31" t="s">
        <v>498</v>
      </c>
      <c r="G135" s="31">
        <v>1</v>
      </c>
      <c r="H135" s="31" t="s">
        <v>46</v>
      </c>
      <c r="I135" s="31" t="s">
        <v>809</v>
      </c>
      <c r="J135" s="31" t="s">
        <v>810</v>
      </c>
      <c r="K135" s="31" t="s">
        <v>821</v>
      </c>
      <c r="L135" s="31" t="s">
        <v>41</v>
      </c>
    </row>
    <row r="136" spans="1:12" ht="28.8" x14ac:dyDescent="0.3">
      <c r="A136" s="31" t="s">
        <v>822</v>
      </c>
      <c r="B136" s="31" t="s">
        <v>807</v>
      </c>
      <c r="C136" s="31" t="s">
        <v>227</v>
      </c>
      <c r="D136" s="31" t="s">
        <v>823</v>
      </c>
      <c r="E136" s="31" t="s">
        <v>234</v>
      </c>
      <c r="F136" s="31" t="s">
        <v>498</v>
      </c>
      <c r="G136" s="31">
        <v>1</v>
      </c>
      <c r="H136" s="31" t="s">
        <v>46</v>
      </c>
      <c r="I136" s="31" t="s">
        <v>824</v>
      </c>
      <c r="J136" s="31" t="s">
        <v>825</v>
      </c>
      <c r="K136" s="31" t="s">
        <v>826</v>
      </c>
      <c r="L136" s="31" t="s">
        <v>41</v>
      </c>
    </row>
    <row r="137" spans="1:12" x14ac:dyDescent="0.3">
      <c r="A137" s="31" t="s">
        <v>827</v>
      </c>
      <c r="B137" s="31" t="s">
        <v>807</v>
      </c>
      <c r="C137" s="31" t="s">
        <v>227</v>
      </c>
      <c r="D137" s="31" t="s">
        <v>828</v>
      </c>
      <c r="E137" s="31" t="s">
        <v>228</v>
      </c>
      <c r="F137" s="31" t="s">
        <v>365</v>
      </c>
      <c r="G137" s="31">
        <v>1</v>
      </c>
      <c r="H137" s="31" t="s">
        <v>46</v>
      </c>
      <c r="I137" s="31" t="s">
        <v>829</v>
      </c>
      <c r="J137" s="31" t="s">
        <v>830</v>
      </c>
      <c r="K137" s="31" t="s">
        <v>831</v>
      </c>
      <c r="L137" s="31" t="s">
        <v>41</v>
      </c>
    </row>
    <row r="138" spans="1:12" x14ac:dyDescent="0.3">
      <c r="A138" s="31" t="s">
        <v>832</v>
      </c>
      <c r="B138" s="31" t="s">
        <v>807</v>
      </c>
      <c r="C138" s="31" t="s">
        <v>227</v>
      </c>
      <c r="D138" s="31" t="s">
        <v>813</v>
      </c>
      <c r="E138" s="31" t="s">
        <v>231</v>
      </c>
      <c r="F138" s="31" t="s">
        <v>814</v>
      </c>
      <c r="G138" s="31">
        <v>1</v>
      </c>
      <c r="H138" s="31" t="s">
        <v>46</v>
      </c>
      <c r="I138" s="31" t="s">
        <v>829</v>
      </c>
      <c r="J138" s="31" t="s">
        <v>830</v>
      </c>
      <c r="K138" s="31" t="s">
        <v>833</v>
      </c>
      <c r="L138" s="31" t="s">
        <v>41</v>
      </c>
    </row>
    <row r="139" spans="1:12" ht="28.8" x14ac:dyDescent="0.3">
      <c r="A139" s="31" t="s">
        <v>834</v>
      </c>
      <c r="B139" s="31" t="s">
        <v>807</v>
      </c>
      <c r="C139" s="31" t="s">
        <v>227</v>
      </c>
      <c r="D139" s="31" t="s">
        <v>835</v>
      </c>
      <c r="E139" s="31" t="s">
        <v>237</v>
      </c>
      <c r="F139" s="31" t="s">
        <v>498</v>
      </c>
      <c r="G139" s="31">
        <v>1</v>
      </c>
      <c r="H139" s="31" t="s">
        <v>46</v>
      </c>
      <c r="I139" s="31" t="s">
        <v>829</v>
      </c>
      <c r="J139" s="31" t="s">
        <v>830</v>
      </c>
      <c r="K139" s="31" t="s">
        <v>836</v>
      </c>
      <c r="L139" s="31" t="s">
        <v>41</v>
      </c>
    </row>
    <row r="140" spans="1:12" ht="28.8" x14ac:dyDescent="0.3">
      <c r="A140" s="31" t="s">
        <v>837</v>
      </c>
      <c r="B140" s="31" t="s">
        <v>807</v>
      </c>
      <c r="C140" s="31" t="s">
        <v>227</v>
      </c>
      <c r="D140" s="31" t="s">
        <v>838</v>
      </c>
      <c r="E140" s="31" t="s">
        <v>233</v>
      </c>
      <c r="F140" s="31" t="s">
        <v>498</v>
      </c>
      <c r="G140" s="31">
        <v>1</v>
      </c>
      <c r="H140" s="31" t="s">
        <v>46</v>
      </c>
      <c r="I140" s="31" t="s">
        <v>839</v>
      </c>
      <c r="J140" s="31" t="s">
        <v>840</v>
      </c>
      <c r="K140" s="31" t="s">
        <v>841</v>
      </c>
      <c r="L140" s="31" t="s">
        <v>41</v>
      </c>
    </row>
    <row r="141" spans="1:12" x14ac:dyDescent="0.3">
      <c r="A141" s="31" t="s">
        <v>842</v>
      </c>
      <c r="B141" s="31" t="s">
        <v>807</v>
      </c>
      <c r="C141" s="31" t="s">
        <v>227</v>
      </c>
      <c r="D141" s="31" t="s">
        <v>843</v>
      </c>
      <c r="E141" s="31" t="s">
        <v>239</v>
      </c>
      <c r="F141" s="31" t="s">
        <v>365</v>
      </c>
      <c r="G141" s="31">
        <v>1</v>
      </c>
      <c r="H141" s="31" t="s">
        <v>46</v>
      </c>
      <c r="I141" s="31" t="s">
        <v>844</v>
      </c>
      <c r="J141" s="31" t="s">
        <v>845</v>
      </c>
      <c r="K141" s="31" t="s">
        <v>846</v>
      </c>
      <c r="L141" s="31" t="s">
        <v>12</v>
      </c>
    </row>
    <row r="142" spans="1:12" x14ac:dyDescent="0.3">
      <c r="A142" s="31" t="s">
        <v>847</v>
      </c>
      <c r="B142" s="31" t="s">
        <v>807</v>
      </c>
      <c r="C142" s="31" t="s">
        <v>227</v>
      </c>
      <c r="D142" s="31" t="s">
        <v>848</v>
      </c>
      <c r="E142" s="31" t="s">
        <v>241</v>
      </c>
      <c r="F142" s="31" t="s">
        <v>365</v>
      </c>
      <c r="G142" s="31">
        <v>1</v>
      </c>
      <c r="H142" s="31" t="s">
        <v>46</v>
      </c>
      <c r="I142" s="31" t="s">
        <v>844</v>
      </c>
      <c r="J142" s="31" t="s">
        <v>845</v>
      </c>
      <c r="K142" s="31" t="s">
        <v>849</v>
      </c>
      <c r="L142" s="31" t="s">
        <v>12</v>
      </c>
    </row>
    <row r="143" spans="1:12" x14ac:dyDescent="0.3">
      <c r="A143" s="31" t="s">
        <v>850</v>
      </c>
      <c r="B143" s="31" t="s">
        <v>807</v>
      </c>
      <c r="C143" s="31" t="s">
        <v>227</v>
      </c>
      <c r="D143" s="31" t="s">
        <v>851</v>
      </c>
      <c r="E143" s="31" t="s">
        <v>228</v>
      </c>
      <c r="F143" s="31" t="s">
        <v>365</v>
      </c>
      <c r="G143" s="31">
        <v>1</v>
      </c>
      <c r="H143" s="31" t="s">
        <v>46</v>
      </c>
      <c r="I143" s="31" t="s">
        <v>844</v>
      </c>
      <c r="J143" s="31" t="s">
        <v>845</v>
      </c>
      <c r="K143" s="31" t="s">
        <v>852</v>
      </c>
      <c r="L143" s="31" t="s">
        <v>12</v>
      </c>
    </row>
    <row r="144" spans="1:12" x14ac:dyDescent="0.3">
      <c r="A144" s="31" t="s">
        <v>853</v>
      </c>
      <c r="B144" s="31" t="s">
        <v>807</v>
      </c>
      <c r="C144" s="31" t="s">
        <v>227</v>
      </c>
      <c r="D144" s="31" t="s">
        <v>813</v>
      </c>
      <c r="E144" s="31" t="s">
        <v>231</v>
      </c>
      <c r="F144" s="31" t="s">
        <v>814</v>
      </c>
      <c r="G144" s="31">
        <v>1</v>
      </c>
      <c r="H144" s="31" t="s">
        <v>46</v>
      </c>
      <c r="I144" s="31" t="s">
        <v>844</v>
      </c>
      <c r="J144" s="31" t="s">
        <v>845</v>
      </c>
      <c r="K144" s="31" t="s">
        <v>854</v>
      </c>
      <c r="L144" s="31" t="s">
        <v>12</v>
      </c>
    </row>
    <row r="145" spans="1:12" x14ac:dyDescent="0.3">
      <c r="A145" s="31" t="s">
        <v>855</v>
      </c>
      <c r="B145" s="31" t="s">
        <v>807</v>
      </c>
      <c r="C145" s="31" t="s">
        <v>227</v>
      </c>
      <c r="D145" s="31" t="s">
        <v>856</v>
      </c>
      <c r="E145" s="31" t="s">
        <v>242</v>
      </c>
      <c r="F145" s="31" t="s">
        <v>365</v>
      </c>
      <c r="G145" s="31">
        <v>1</v>
      </c>
      <c r="H145" s="31" t="s">
        <v>46</v>
      </c>
      <c r="I145" s="31" t="s">
        <v>844</v>
      </c>
      <c r="J145" s="31" t="s">
        <v>845</v>
      </c>
      <c r="K145" s="31" t="s">
        <v>857</v>
      </c>
      <c r="L145" s="31" t="s">
        <v>41</v>
      </c>
    </row>
    <row r="146" spans="1:12" x14ac:dyDescent="0.3">
      <c r="A146" s="31" t="s">
        <v>858</v>
      </c>
      <c r="B146" s="31" t="s">
        <v>807</v>
      </c>
      <c r="C146" s="31" t="s">
        <v>227</v>
      </c>
      <c r="D146" s="31" t="s">
        <v>859</v>
      </c>
      <c r="E146" s="31" t="s">
        <v>243</v>
      </c>
      <c r="F146" s="31" t="s">
        <v>365</v>
      </c>
      <c r="G146" s="31">
        <v>1</v>
      </c>
      <c r="H146" s="31" t="s">
        <v>46</v>
      </c>
      <c r="I146" s="31" t="s">
        <v>844</v>
      </c>
      <c r="J146" s="31" t="s">
        <v>845</v>
      </c>
      <c r="K146" s="31" t="s">
        <v>860</v>
      </c>
      <c r="L146" s="31" t="s">
        <v>41</v>
      </c>
    </row>
    <row r="147" spans="1:12" x14ac:dyDescent="0.3">
      <c r="A147" s="31" t="s">
        <v>861</v>
      </c>
      <c r="B147" s="31" t="s">
        <v>807</v>
      </c>
      <c r="C147" s="31" t="s">
        <v>227</v>
      </c>
      <c r="D147" s="31" t="s">
        <v>862</v>
      </c>
      <c r="E147" s="31" t="s">
        <v>244</v>
      </c>
      <c r="F147" s="31" t="s">
        <v>365</v>
      </c>
      <c r="G147" s="31">
        <v>1</v>
      </c>
      <c r="H147" s="31" t="s">
        <v>46</v>
      </c>
      <c r="I147" s="31" t="s">
        <v>844</v>
      </c>
      <c r="J147" s="31" t="s">
        <v>845</v>
      </c>
      <c r="K147" s="31" t="s">
        <v>863</v>
      </c>
      <c r="L147" s="31" t="s">
        <v>41</v>
      </c>
    </row>
    <row r="148" spans="1:12" x14ac:dyDescent="0.3">
      <c r="A148" s="31" t="s">
        <v>864</v>
      </c>
      <c r="B148" s="31" t="s">
        <v>807</v>
      </c>
      <c r="C148" s="31" t="s">
        <v>227</v>
      </c>
      <c r="D148" s="31" t="s">
        <v>865</v>
      </c>
      <c r="E148" s="31" t="s">
        <v>245</v>
      </c>
      <c r="F148" s="31" t="s">
        <v>365</v>
      </c>
      <c r="G148" s="31">
        <v>1</v>
      </c>
      <c r="H148" s="31" t="s">
        <v>46</v>
      </c>
      <c r="I148" s="31" t="s">
        <v>844</v>
      </c>
      <c r="J148" s="31" t="s">
        <v>845</v>
      </c>
      <c r="K148" s="31" t="s">
        <v>866</v>
      </c>
      <c r="L148" s="31" t="s">
        <v>12</v>
      </c>
    </row>
    <row r="149" spans="1:12" ht="28.8" x14ac:dyDescent="0.3">
      <c r="A149" s="31" t="s">
        <v>867</v>
      </c>
      <c r="B149" s="31" t="s">
        <v>807</v>
      </c>
      <c r="C149" s="31" t="s">
        <v>227</v>
      </c>
      <c r="D149" s="31" t="s">
        <v>868</v>
      </c>
      <c r="E149" s="31" t="s">
        <v>237</v>
      </c>
      <c r="F149" s="31" t="s">
        <v>498</v>
      </c>
      <c r="G149" s="31">
        <v>1</v>
      </c>
      <c r="H149" s="31" t="s">
        <v>46</v>
      </c>
      <c r="I149" s="31" t="s">
        <v>844</v>
      </c>
      <c r="J149" s="31" t="s">
        <v>845</v>
      </c>
      <c r="K149" s="31" t="s">
        <v>869</v>
      </c>
      <c r="L149" s="31" t="s">
        <v>12</v>
      </c>
    </row>
    <row r="150" spans="1:12" ht="28.8" x14ac:dyDescent="0.3">
      <c r="A150" s="31" t="s">
        <v>870</v>
      </c>
      <c r="B150" s="31" t="s">
        <v>807</v>
      </c>
      <c r="C150" s="31" t="s">
        <v>227</v>
      </c>
      <c r="D150" s="31" t="s">
        <v>871</v>
      </c>
      <c r="E150" s="31" t="s">
        <v>246</v>
      </c>
      <c r="F150" s="31" t="s">
        <v>314</v>
      </c>
      <c r="G150" s="31">
        <v>15.3</v>
      </c>
      <c r="H150" s="31" t="s">
        <v>46</v>
      </c>
      <c r="I150" s="31" t="s">
        <v>872</v>
      </c>
      <c r="J150" s="31" t="s">
        <v>873</v>
      </c>
      <c r="K150" s="31" t="s">
        <v>874</v>
      </c>
      <c r="L150" s="31" t="s">
        <v>41</v>
      </c>
    </row>
    <row r="151" spans="1:12" ht="28.8" x14ac:dyDescent="0.3">
      <c r="A151" s="31" t="s">
        <v>875</v>
      </c>
      <c r="B151" s="31" t="s">
        <v>807</v>
      </c>
      <c r="C151" s="31" t="s">
        <v>227</v>
      </c>
      <c r="D151" s="31" t="s">
        <v>876</v>
      </c>
      <c r="E151" s="31" t="s">
        <v>249</v>
      </c>
      <c r="F151" s="31" t="s">
        <v>314</v>
      </c>
      <c r="G151" s="31">
        <v>5.78</v>
      </c>
      <c r="H151" s="31" t="s">
        <v>46</v>
      </c>
      <c r="I151" s="31" t="s">
        <v>877</v>
      </c>
      <c r="J151" s="31" t="s">
        <v>878</v>
      </c>
      <c r="K151" s="31" t="s">
        <v>877</v>
      </c>
      <c r="L151" s="31" t="s">
        <v>12</v>
      </c>
    </row>
    <row r="152" spans="1:12" ht="28.8" x14ac:dyDescent="0.3">
      <c r="A152" s="31" t="s">
        <v>879</v>
      </c>
      <c r="B152" s="31" t="s">
        <v>807</v>
      </c>
      <c r="C152" s="31" t="s">
        <v>227</v>
      </c>
      <c r="D152" s="31" t="s">
        <v>823</v>
      </c>
      <c r="E152" s="31" t="s">
        <v>234</v>
      </c>
      <c r="F152" s="31" t="s">
        <v>498</v>
      </c>
      <c r="G152" s="31">
        <v>1</v>
      </c>
      <c r="H152" s="31" t="s">
        <v>46</v>
      </c>
      <c r="I152" s="31" t="s">
        <v>880</v>
      </c>
      <c r="J152" s="31" t="s">
        <v>881</v>
      </c>
      <c r="K152" s="31" t="s">
        <v>882</v>
      </c>
      <c r="L152" s="31" t="s">
        <v>41</v>
      </c>
    </row>
    <row r="153" spans="1:12" ht="28.8" x14ac:dyDescent="0.3">
      <c r="A153" s="31" t="s">
        <v>883</v>
      </c>
      <c r="B153" s="31" t="s">
        <v>807</v>
      </c>
      <c r="C153" s="31" t="s">
        <v>227</v>
      </c>
      <c r="D153" s="31" t="s">
        <v>884</v>
      </c>
      <c r="E153" s="31" t="s">
        <v>252</v>
      </c>
      <c r="F153" s="31" t="s">
        <v>498</v>
      </c>
      <c r="G153" s="31">
        <v>0</v>
      </c>
      <c r="H153" s="31" t="s">
        <v>71</v>
      </c>
      <c r="I153" s="31" t="s">
        <v>885</v>
      </c>
      <c r="J153" s="31" t="s">
        <v>886</v>
      </c>
      <c r="K153" s="31" t="s">
        <v>430</v>
      </c>
      <c r="L153" s="31" t="s">
        <v>41</v>
      </c>
    </row>
    <row r="154" spans="1:12" ht="43.2" x14ac:dyDescent="0.3">
      <c r="A154" s="31" t="s">
        <v>887</v>
      </c>
      <c r="B154" s="31" t="s">
        <v>807</v>
      </c>
      <c r="C154" s="31" t="s">
        <v>227</v>
      </c>
      <c r="D154" s="31" t="s">
        <v>888</v>
      </c>
      <c r="E154" s="31" t="s">
        <v>255</v>
      </c>
      <c r="F154" s="31" t="s">
        <v>498</v>
      </c>
      <c r="G154" s="31">
        <v>0</v>
      </c>
      <c r="H154" s="31" t="s">
        <v>71</v>
      </c>
      <c r="I154" s="31" t="s">
        <v>889</v>
      </c>
      <c r="J154" s="31" t="s">
        <v>890</v>
      </c>
      <c r="K154" s="31" t="s">
        <v>430</v>
      </c>
      <c r="L154" s="31" t="s">
        <v>41</v>
      </c>
    </row>
    <row r="155" spans="1:12" ht="28.8" x14ac:dyDescent="0.3">
      <c r="A155" s="31" t="s">
        <v>891</v>
      </c>
      <c r="B155" s="31" t="s">
        <v>807</v>
      </c>
      <c r="C155" s="31" t="s">
        <v>227</v>
      </c>
      <c r="D155" s="31" t="s">
        <v>892</v>
      </c>
      <c r="E155" s="31" t="s">
        <v>257</v>
      </c>
      <c r="F155" s="31" t="s">
        <v>498</v>
      </c>
      <c r="G155" s="31">
        <v>1</v>
      </c>
      <c r="H155" s="31" t="s">
        <v>46</v>
      </c>
      <c r="I155" s="31" t="s">
        <v>893</v>
      </c>
      <c r="J155" s="31" t="s">
        <v>894</v>
      </c>
      <c r="K155" s="31"/>
      <c r="L155" s="31" t="s">
        <v>41</v>
      </c>
    </row>
    <row r="156" spans="1:12" x14ac:dyDescent="0.3">
      <c r="A156" s="31" t="s">
        <v>895</v>
      </c>
      <c r="B156" s="31" t="s">
        <v>807</v>
      </c>
      <c r="C156" s="31" t="s">
        <v>227</v>
      </c>
      <c r="D156" s="31" t="s">
        <v>896</v>
      </c>
      <c r="E156" s="31" t="s">
        <v>260</v>
      </c>
      <c r="F156" s="31" t="s">
        <v>498</v>
      </c>
      <c r="G156" s="31">
        <v>1</v>
      </c>
      <c r="H156" s="31" t="s">
        <v>46</v>
      </c>
      <c r="I156" s="31" t="s">
        <v>893</v>
      </c>
      <c r="J156" s="31" t="s">
        <v>894</v>
      </c>
      <c r="K156" s="31"/>
      <c r="L156" s="31" t="s">
        <v>41</v>
      </c>
    </row>
    <row r="157" spans="1:12" x14ac:dyDescent="0.3">
      <c r="A157" s="31" t="s">
        <v>897</v>
      </c>
      <c r="B157" s="31" t="s">
        <v>807</v>
      </c>
      <c r="C157" s="31" t="s">
        <v>227</v>
      </c>
      <c r="D157" s="31" t="s">
        <v>898</v>
      </c>
      <c r="E157" s="31" t="s">
        <v>262</v>
      </c>
      <c r="F157" s="31" t="s">
        <v>498</v>
      </c>
      <c r="G157" s="31">
        <v>1</v>
      </c>
      <c r="H157" s="31" t="s">
        <v>46</v>
      </c>
      <c r="I157" s="31" t="s">
        <v>893</v>
      </c>
      <c r="J157" s="31" t="s">
        <v>894</v>
      </c>
      <c r="K157" s="31"/>
      <c r="L157" s="31" t="s">
        <v>41</v>
      </c>
    </row>
    <row r="158" spans="1:12" x14ac:dyDescent="0.3">
      <c r="A158" s="31" t="s">
        <v>899</v>
      </c>
      <c r="B158" s="31" t="s">
        <v>807</v>
      </c>
      <c r="C158" s="31" t="s">
        <v>227</v>
      </c>
      <c r="D158" s="31" t="s">
        <v>900</v>
      </c>
      <c r="E158" s="31" t="s">
        <v>264</v>
      </c>
      <c r="F158" s="31" t="s">
        <v>365</v>
      </c>
      <c r="G158" s="31">
        <v>3</v>
      </c>
      <c r="H158" s="31" t="s">
        <v>46</v>
      </c>
      <c r="I158" s="31" t="s">
        <v>893</v>
      </c>
      <c r="J158" s="31" t="s">
        <v>894</v>
      </c>
      <c r="K158" s="31" t="s">
        <v>901</v>
      </c>
      <c r="L158" s="31" t="s">
        <v>41</v>
      </c>
    </row>
    <row r="159" spans="1:12" x14ac:dyDescent="0.3">
      <c r="A159" s="31" t="s">
        <v>902</v>
      </c>
      <c r="B159" s="31" t="s">
        <v>903</v>
      </c>
      <c r="C159" s="31" t="s">
        <v>266</v>
      </c>
      <c r="D159" s="31" t="s">
        <v>904</v>
      </c>
      <c r="E159" s="31" t="s">
        <v>267</v>
      </c>
      <c r="F159" s="31" t="s">
        <v>314</v>
      </c>
      <c r="G159" s="31">
        <v>106.6</v>
      </c>
      <c r="H159" s="31" t="s">
        <v>11</v>
      </c>
      <c r="I159" s="31" t="e">
        <f>roof_area_m2 (batts cover full roof area)</f>
        <v>#NAME?</v>
      </c>
      <c r="J159" s="31" t="s">
        <v>506</v>
      </c>
      <c r="K159" s="31" t="e">
        <f>roof_area</f>
        <v>#NAME?</v>
      </c>
      <c r="L159" s="31" t="s">
        <v>28</v>
      </c>
    </row>
    <row r="160" spans="1:12" x14ac:dyDescent="0.3">
      <c r="A160" s="31" t="s">
        <v>905</v>
      </c>
      <c r="B160" s="31" t="s">
        <v>903</v>
      </c>
      <c r="C160" s="31" t="s">
        <v>266</v>
      </c>
      <c r="D160" s="31" t="s">
        <v>906</v>
      </c>
      <c r="E160" s="31" t="s">
        <v>268</v>
      </c>
      <c r="F160" s="31" t="s">
        <v>314</v>
      </c>
      <c r="G160" s="31">
        <v>92.16</v>
      </c>
      <c r="H160" s="31" t="s">
        <v>11</v>
      </c>
      <c r="I160" s="31" t="s">
        <v>325</v>
      </c>
      <c r="J160" s="31" t="s">
        <v>326</v>
      </c>
      <c r="K160" s="31" t="s">
        <v>327</v>
      </c>
      <c r="L160" s="31" t="s">
        <v>12</v>
      </c>
    </row>
    <row r="161" spans="1:12" x14ac:dyDescent="0.3">
      <c r="A161" s="31" t="s">
        <v>907</v>
      </c>
      <c r="B161" s="31" t="s">
        <v>908</v>
      </c>
      <c r="C161" s="31" t="s">
        <v>270</v>
      </c>
      <c r="D161" s="31" t="s">
        <v>909</v>
      </c>
      <c r="E161" s="31" t="s">
        <v>271</v>
      </c>
      <c r="F161" s="31" t="s">
        <v>365</v>
      </c>
      <c r="G161" s="31">
        <v>1</v>
      </c>
      <c r="H161" s="31" t="s">
        <v>46</v>
      </c>
      <c r="I161" s="31" t="s">
        <v>910</v>
      </c>
      <c r="J161" s="31" t="s">
        <v>911</v>
      </c>
      <c r="K161" s="31" t="s">
        <v>912</v>
      </c>
      <c r="L161" s="31" t="s">
        <v>41</v>
      </c>
    </row>
    <row r="162" spans="1:12" x14ac:dyDescent="0.3">
      <c r="A162" s="31" t="s">
        <v>913</v>
      </c>
      <c r="B162" s="31" t="s">
        <v>908</v>
      </c>
      <c r="C162" s="31" t="s">
        <v>270</v>
      </c>
      <c r="D162" s="31" t="s">
        <v>914</v>
      </c>
      <c r="E162" s="31" t="s">
        <v>273</v>
      </c>
      <c r="F162" s="31" t="s">
        <v>365</v>
      </c>
      <c r="G162" s="31">
        <v>3</v>
      </c>
      <c r="H162" s="31" t="s">
        <v>46</v>
      </c>
      <c r="I162" s="31" t="s">
        <v>915</v>
      </c>
      <c r="J162" s="31" t="s">
        <v>916</v>
      </c>
      <c r="K162" s="31" t="s">
        <v>917</v>
      </c>
      <c r="L162" s="31" t="s">
        <v>41</v>
      </c>
    </row>
    <row r="163" spans="1:12" x14ac:dyDescent="0.3">
      <c r="A163" s="31" t="s">
        <v>918</v>
      </c>
      <c r="B163" s="31" t="s">
        <v>908</v>
      </c>
      <c r="C163" s="31" t="s">
        <v>270</v>
      </c>
      <c r="D163" s="31" t="s">
        <v>919</v>
      </c>
      <c r="E163" s="31" t="s">
        <v>274</v>
      </c>
      <c r="F163" s="31" t="s">
        <v>365</v>
      </c>
      <c r="G163" s="31">
        <v>2</v>
      </c>
      <c r="H163" s="31" t="s">
        <v>11</v>
      </c>
      <c r="I163" s="31" t="s">
        <v>920</v>
      </c>
      <c r="J163" s="31" t="s">
        <v>911</v>
      </c>
      <c r="K163" s="31" t="s">
        <v>921</v>
      </c>
      <c r="L163" s="31" t="s">
        <v>12</v>
      </c>
    </row>
    <row r="164" spans="1:12" x14ac:dyDescent="0.3">
      <c r="A164" s="31" t="s">
        <v>922</v>
      </c>
      <c r="B164" s="31" t="s">
        <v>908</v>
      </c>
      <c r="C164" s="31" t="s">
        <v>270</v>
      </c>
      <c r="D164" s="31" t="s">
        <v>923</v>
      </c>
      <c r="E164" s="31" t="s">
        <v>276</v>
      </c>
      <c r="F164" s="31" t="s">
        <v>308</v>
      </c>
      <c r="G164" s="31">
        <v>0.75</v>
      </c>
      <c r="H164" s="31" t="s">
        <v>11</v>
      </c>
      <c r="I164" s="31" t="e">
        <f>stair_run_estimate</f>
        <v>#NAME?</v>
      </c>
      <c r="J164" s="31" t="s">
        <v>911</v>
      </c>
      <c r="K164" s="31" t="s">
        <v>924</v>
      </c>
      <c r="L164" s="31" t="s">
        <v>41</v>
      </c>
    </row>
    <row r="165" spans="1:12" ht="28.8" x14ac:dyDescent="0.3">
      <c r="A165" s="31" t="s">
        <v>925</v>
      </c>
      <c r="B165" s="31" t="s">
        <v>908</v>
      </c>
      <c r="C165" s="31" t="s">
        <v>270</v>
      </c>
      <c r="D165" s="31" t="s">
        <v>926</v>
      </c>
      <c r="E165" s="31" t="s">
        <v>278</v>
      </c>
      <c r="F165" s="31" t="s">
        <v>365</v>
      </c>
      <c r="G165" s="31">
        <v>1</v>
      </c>
      <c r="H165" s="31" t="s">
        <v>11</v>
      </c>
      <c r="I165" s="31" t="s">
        <v>927</v>
      </c>
      <c r="J165" s="31" t="s">
        <v>928</v>
      </c>
      <c r="K165" s="31" t="s">
        <v>929</v>
      </c>
      <c r="L165" s="31" t="s">
        <v>41</v>
      </c>
    </row>
    <row r="166" spans="1:12" ht="28.8" x14ac:dyDescent="0.3">
      <c r="A166" s="31" t="s">
        <v>930</v>
      </c>
      <c r="B166" s="31" t="s">
        <v>908</v>
      </c>
      <c r="C166" s="31" t="s">
        <v>270</v>
      </c>
      <c r="D166" s="31" t="s">
        <v>931</v>
      </c>
      <c r="E166" s="31" t="s">
        <v>276</v>
      </c>
      <c r="F166" s="31" t="s">
        <v>314</v>
      </c>
      <c r="G166" s="31">
        <v>0.75</v>
      </c>
      <c r="H166" s="31" t="s">
        <v>46</v>
      </c>
      <c r="I166" s="31" t="s">
        <v>932</v>
      </c>
      <c r="J166" s="31" t="s">
        <v>928</v>
      </c>
      <c r="K166" s="31" t="s">
        <v>933</v>
      </c>
      <c r="L166" s="31" t="s">
        <v>41</v>
      </c>
    </row>
    <row r="167" spans="1:12" x14ac:dyDescent="0.3">
      <c r="A167" s="31" t="s">
        <v>934</v>
      </c>
      <c r="B167" s="31" t="s">
        <v>908</v>
      </c>
      <c r="C167" s="31" t="s">
        <v>270</v>
      </c>
      <c r="D167" s="31" t="s">
        <v>935</v>
      </c>
      <c r="E167" s="31" t="s">
        <v>281</v>
      </c>
      <c r="F167" s="31" t="s">
        <v>308</v>
      </c>
      <c r="G167" s="31">
        <v>0.75</v>
      </c>
      <c r="H167" s="31" t="s">
        <v>11</v>
      </c>
      <c r="I167" s="31" t="e">
        <f>stair_run_estimate</f>
        <v>#NAME?</v>
      </c>
      <c r="J167" s="31" t="s">
        <v>911</v>
      </c>
      <c r="K167" s="31" t="s">
        <v>924</v>
      </c>
      <c r="L167" s="31" t="s">
        <v>41</v>
      </c>
    </row>
    <row r="168" spans="1:12" ht="43.2" x14ac:dyDescent="0.3">
      <c r="A168" s="31" t="s">
        <v>936</v>
      </c>
      <c r="B168" s="31" t="s">
        <v>908</v>
      </c>
      <c r="C168" s="31" t="s">
        <v>270</v>
      </c>
      <c r="D168" s="31" t="s">
        <v>937</v>
      </c>
      <c r="E168" s="31" t="s">
        <v>283</v>
      </c>
      <c r="F168" s="31" t="s">
        <v>314</v>
      </c>
      <c r="G168" s="31">
        <v>8.82</v>
      </c>
      <c r="H168" s="31" t="s">
        <v>46</v>
      </c>
      <c r="I168" s="31" t="s">
        <v>938</v>
      </c>
      <c r="J168" s="31" t="s">
        <v>939</v>
      </c>
      <c r="K168" s="31" t="s">
        <v>940</v>
      </c>
      <c r="L168" s="31" t="s">
        <v>41</v>
      </c>
    </row>
    <row r="169" spans="1:12" ht="28.8" x14ac:dyDescent="0.3">
      <c r="A169" s="31" t="s">
        <v>941</v>
      </c>
      <c r="B169" s="31" t="s">
        <v>908</v>
      </c>
      <c r="C169" s="31" t="s">
        <v>270</v>
      </c>
      <c r="D169" s="31" t="s">
        <v>942</v>
      </c>
      <c r="E169" s="31" t="s">
        <v>286</v>
      </c>
      <c r="F169" s="31" t="s">
        <v>308</v>
      </c>
      <c r="G169" s="31">
        <v>14.7</v>
      </c>
      <c r="H169" s="31" t="s">
        <v>46</v>
      </c>
      <c r="I169" s="31" t="s">
        <v>943</v>
      </c>
      <c r="J169" s="31" t="s">
        <v>944</v>
      </c>
      <c r="K169" s="31" t="s">
        <v>945</v>
      </c>
      <c r="L169" s="31" t="s">
        <v>41</v>
      </c>
    </row>
    <row r="170" spans="1:12" ht="28.8" x14ac:dyDescent="0.3">
      <c r="A170" s="31" t="s">
        <v>946</v>
      </c>
      <c r="B170" s="31" t="s">
        <v>908</v>
      </c>
      <c r="C170" s="31" t="s">
        <v>270</v>
      </c>
      <c r="D170" s="31" t="s">
        <v>947</v>
      </c>
      <c r="E170" s="31" t="s">
        <v>289</v>
      </c>
      <c r="F170" s="31" t="s">
        <v>308</v>
      </c>
      <c r="G170" s="31">
        <v>14.7</v>
      </c>
      <c r="H170" s="31" t="s">
        <v>46</v>
      </c>
      <c r="I170" s="31" t="s">
        <v>943</v>
      </c>
      <c r="J170" s="31" t="s">
        <v>944</v>
      </c>
      <c r="K170" s="31" t="s">
        <v>945</v>
      </c>
      <c r="L170" s="31" t="s">
        <v>41</v>
      </c>
    </row>
    <row r="171" spans="1:12" x14ac:dyDescent="0.3">
      <c r="A171" s="31" t="s">
        <v>948</v>
      </c>
      <c r="B171" s="31" t="s">
        <v>908</v>
      </c>
      <c r="C171" s="31" t="s">
        <v>270</v>
      </c>
      <c r="D171" s="31" t="s">
        <v>949</v>
      </c>
      <c r="E171" s="31" t="s">
        <v>276</v>
      </c>
      <c r="F171" s="31" t="s">
        <v>308</v>
      </c>
      <c r="G171" s="31">
        <v>20.399999999999999</v>
      </c>
      <c r="H171" s="31" t="s">
        <v>27</v>
      </c>
      <c r="I171" s="31" t="s">
        <v>950</v>
      </c>
      <c r="J171" s="31" t="s">
        <v>951</v>
      </c>
      <c r="K171" s="31" t="e">
        <f>verandah_perimeter_m</f>
        <v>#NAME?</v>
      </c>
      <c r="L171" s="31" t="s">
        <v>28</v>
      </c>
    </row>
    <row r="172" spans="1:12" x14ac:dyDescent="0.3">
      <c r="A172" s="31" t="s">
        <v>952</v>
      </c>
      <c r="B172" s="31" t="s">
        <v>908</v>
      </c>
      <c r="C172" s="31" t="s">
        <v>270</v>
      </c>
      <c r="D172" s="31" t="s">
        <v>953</v>
      </c>
      <c r="E172" s="31" t="s">
        <v>281</v>
      </c>
      <c r="F172" s="31" t="s">
        <v>308</v>
      </c>
      <c r="G172" s="31">
        <v>20.399999999999999</v>
      </c>
      <c r="H172" s="31" t="s">
        <v>11</v>
      </c>
      <c r="I172" s="31" t="e">
        <f>verandah_perimeter (full open edge)</f>
        <v>#NAME?</v>
      </c>
      <c r="J172" s="31" t="s">
        <v>951</v>
      </c>
      <c r="K172" s="31" t="e">
        <f>verandah_perimeter</f>
        <v>#NAME?</v>
      </c>
      <c r="L172" s="31" t="s">
        <v>12</v>
      </c>
    </row>
    <row r="173" spans="1:12" x14ac:dyDescent="0.3">
      <c r="A173" s="31" t="s">
        <v>954</v>
      </c>
      <c r="B173" s="31" t="s">
        <v>908</v>
      </c>
      <c r="C173" s="31" t="s">
        <v>270</v>
      </c>
      <c r="D173" s="31" t="s">
        <v>955</v>
      </c>
      <c r="E173" s="31" t="s">
        <v>278</v>
      </c>
      <c r="F173" s="31" t="s">
        <v>365</v>
      </c>
      <c r="G173" s="31">
        <v>17</v>
      </c>
      <c r="H173" s="31" t="s">
        <v>11</v>
      </c>
      <c r="I173" s="31" t="s">
        <v>956</v>
      </c>
      <c r="J173" s="31" t="s">
        <v>957</v>
      </c>
      <c r="K173" s="31" t="s">
        <v>958</v>
      </c>
      <c r="L173" s="31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0" customWidth="1"/>
    <col min="3" max="3" width="48" customWidth="1"/>
    <col min="4" max="4" width="6" customWidth="1"/>
    <col min="5" max="6" width="10" customWidth="1"/>
    <col min="7" max="7" width="12" customWidth="1"/>
    <col min="8" max="8" width="60" customWidth="1"/>
  </cols>
  <sheetData>
    <row r="1" spans="1:8" ht="28.8" x14ac:dyDescent="0.3">
      <c r="A1" s="1" t="s">
        <v>293</v>
      </c>
      <c r="B1" s="1" t="s">
        <v>294</v>
      </c>
      <c r="C1" s="1" t="s">
        <v>297</v>
      </c>
      <c r="D1" s="1" t="s">
        <v>298</v>
      </c>
      <c r="E1" s="1" t="s">
        <v>299</v>
      </c>
      <c r="F1" s="1" t="s">
        <v>304</v>
      </c>
      <c r="G1" s="1" t="s">
        <v>300</v>
      </c>
      <c r="H1" s="1" t="s">
        <v>959</v>
      </c>
    </row>
    <row r="2" spans="1:8" ht="57.6" x14ac:dyDescent="0.3">
      <c r="A2" s="32" t="s">
        <v>379</v>
      </c>
      <c r="B2" s="32" t="s">
        <v>334</v>
      </c>
      <c r="C2" s="32" t="s">
        <v>45</v>
      </c>
      <c r="D2" s="32" t="s">
        <v>365</v>
      </c>
      <c r="E2" s="32">
        <v>21</v>
      </c>
      <c r="F2" s="32" t="s">
        <v>41</v>
      </c>
      <c r="G2" s="32" t="s">
        <v>46</v>
      </c>
      <c r="H2" s="32" t="s">
        <v>48</v>
      </c>
    </row>
    <row r="3" spans="1:8" ht="57.6" x14ac:dyDescent="0.3">
      <c r="A3" s="32" t="s">
        <v>384</v>
      </c>
      <c r="B3" s="32" t="s">
        <v>334</v>
      </c>
      <c r="C3" s="32" t="s">
        <v>49</v>
      </c>
      <c r="D3" s="32" t="s">
        <v>308</v>
      </c>
      <c r="E3" s="32">
        <v>100.8</v>
      </c>
      <c r="F3" s="32" t="s">
        <v>41</v>
      </c>
      <c r="G3" s="32" t="s">
        <v>46</v>
      </c>
      <c r="H3" s="32" t="s">
        <v>50</v>
      </c>
    </row>
    <row r="4" spans="1:8" ht="72" x14ac:dyDescent="0.3">
      <c r="A4" s="32" t="s">
        <v>388</v>
      </c>
      <c r="B4" s="32" t="s">
        <v>334</v>
      </c>
      <c r="C4" s="32" t="s">
        <v>51</v>
      </c>
      <c r="D4" s="32" t="s">
        <v>365</v>
      </c>
      <c r="E4" s="32">
        <v>3</v>
      </c>
      <c r="F4" s="32" t="s">
        <v>41</v>
      </c>
      <c r="G4" s="32" t="s">
        <v>46</v>
      </c>
      <c r="H4" s="32" t="s">
        <v>52</v>
      </c>
    </row>
    <row r="5" spans="1:8" ht="57.6" x14ac:dyDescent="0.3">
      <c r="A5" s="32" t="s">
        <v>392</v>
      </c>
      <c r="B5" s="32" t="s">
        <v>334</v>
      </c>
      <c r="C5" s="32" t="s">
        <v>53</v>
      </c>
      <c r="D5" s="32" t="s">
        <v>365</v>
      </c>
      <c r="E5" s="32">
        <v>9</v>
      </c>
      <c r="F5" s="32" t="s">
        <v>41</v>
      </c>
      <c r="G5" s="32" t="s">
        <v>46</v>
      </c>
      <c r="H5" s="32" t="s">
        <v>54</v>
      </c>
    </row>
    <row r="6" spans="1:8" ht="57.6" x14ac:dyDescent="0.3">
      <c r="A6" s="32" t="s">
        <v>397</v>
      </c>
      <c r="B6" s="32" t="s">
        <v>334</v>
      </c>
      <c r="C6" s="32" t="s">
        <v>55</v>
      </c>
      <c r="D6" s="32" t="s">
        <v>308</v>
      </c>
      <c r="E6" s="32">
        <v>43.2</v>
      </c>
      <c r="F6" s="32" t="s">
        <v>41</v>
      </c>
      <c r="G6" s="32" t="s">
        <v>46</v>
      </c>
      <c r="H6" s="32" t="s">
        <v>56</v>
      </c>
    </row>
    <row r="7" spans="1:8" ht="57.6" x14ac:dyDescent="0.3">
      <c r="A7" s="32" t="s">
        <v>400</v>
      </c>
      <c r="B7" s="32" t="s">
        <v>334</v>
      </c>
      <c r="C7" s="32" t="s">
        <v>57</v>
      </c>
      <c r="D7" s="32" t="s">
        <v>365</v>
      </c>
      <c r="E7" s="32">
        <v>2</v>
      </c>
      <c r="F7" s="32" t="s">
        <v>41</v>
      </c>
      <c r="G7" s="32" t="s">
        <v>46</v>
      </c>
      <c r="H7" s="32" t="s">
        <v>58</v>
      </c>
    </row>
    <row r="8" spans="1:8" ht="28.8" x14ac:dyDescent="0.3">
      <c r="A8" s="32" t="s">
        <v>404</v>
      </c>
      <c r="B8" s="32" t="s">
        <v>334</v>
      </c>
      <c r="C8" s="32" t="s">
        <v>59</v>
      </c>
      <c r="D8" s="32" t="s">
        <v>406</v>
      </c>
      <c r="E8" s="32">
        <v>24</v>
      </c>
      <c r="F8" s="32" t="s">
        <v>41</v>
      </c>
      <c r="G8" s="32" t="s">
        <v>11</v>
      </c>
      <c r="H8" s="32" t="s">
        <v>61</v>
      </c>
    </row>
    <row r="9" spans="1:8" ht="43.2" x14ac:dyDescent="0.3">
      <c r="A9" s="32" t="s">
        <v>419</v>
      </c>
      <c r="B9" s="32" t="s">
        <v>334</v>
      </c>
      <c r="C9" s="32" t="s">
        <v>67</v>
      </c>
      <c r="D9" s="32" t="s">
        <v>421</v>
      </c>
      <c r="E9" s="32">
        <v>7.68</v>
      </c>
      <c r="F9" s="32" t="s">
        <v>41</v>
      </c>
      <c r="G9" s="32" t="s">
        <v>11</v>
      </c>
      <c r="H9" s="32" t="s">
        <v>68</v>
      </c>
    </row>
    <row r="10" spans="1:8" ht="28.8" x14ac:dyDescent="0.3">
      <c r="A10" s="32" t="s">
        <v>427</v>
      </c>
      <c r="B10" s="32" t="s">
        <v>334</v>
      </c>
      <c r="C10" s="32" t="s">
        <v>70</v>
      </c>
      <c r="D10" s="32" t="s">
        <v>421</v>
      </c>
      <c r="E10" s="32">
        <v>0</v>
      </c>
      <c r="F10" s="32" t="s">
        <v>41</v>
      </c>
      <c r="G10" s="32" t="s">
        <v>71</v>
      </c>
      <c r="H10" s="32" t="s">
        <v>73</v>
      </c>
    </row>
    <row r="11" spans="1:8" ht="28.8" x14ac:dyDescent="0.3">
      <c r="A11" s="32" t="s">
        <v>434</v>
      </c>
      <c r="B11" s="32" t="s">
        <v>334</v>
      </c>
      <c r="C11" s="32" t="s">
        <v>74</v>
      </c>
      <c r="D11" s="32" t="s">
        <v>421</v>
      </c>
      <c r="E11" s="32">
        <v>5.88</v>
      </c>
      <c r="F11" s="32" t="s">
        <v>41</v>
      </c>
      <c r="G11" s="32" t="s">
        <v>11</v>
      </c>
      <c r="H11" s="32" t="s">
        <v>77</v>
      </c>
    </row>
    <row r="12" spans="1:8" ht="28.8" x14ac:dyDescent="0.3">
      <c r="A12" s="32" t="s">
        <v>444</v>
      </c>
      <c r="B12" s="32" t="s">
        <v>334</v>
      </c>
      <c r="C12" s="32" t="s">
        <v>79</v>
      </c>
      <c r="D12" s="32" t="s">
        <v>421</v>
      </c>
      <c r="E12" s="32">
        <v>5.1449999999999996</v>
      </c>
      <c r="F12" s="32" t="s">
        <v>41</v>
      </c>
      <c r="G12" s="32" t="s">
        <v>11</v>
      </c>
      <c r="H12" s="32" t="s">
        <v>80</v>
      </c>
    </row>
    <row r="13" spans="1:8" ht="43.2" x14ac:dyDescent="0.3">
      <c r="A13" s="32" t="s">
        <v>449</v>
      </c>
      <c r="B13" s="32" t="s">
        <v>450</v>
      </c>
      <c r="C13" s="32" t="s">
        <v>82</v>
      </c>
      <c r="D13" s="32" t="s">
        <v>412</v>
      </c>
      <c r="E13" s="32">
        <v>19</v>
      </c>
      <c r="F13" s="32" t="s">
        <v>12</v>
      </c>
      <c r="G13" s="32" t="s">
        <v>11</v>
      </c>
      <c r="H13" s="32" t="s">
        <v>83</v>
      </c>
    </row>
    <row r="14" spans="1:8" ht="43.2" x14ac:dyDescent="0.3">
      <c r="A14" s="32" t="s">
        <v>455</v>
      </c>
      <c r="B14" s="32" t="s">
        <v>450</v>
      </c>
      <c r="C14" s="32" t="s">
        <v>84</v>
      </c>
      <c r="D14" s="32" t="s">
        <v>412</v>
      </c>
      <c r="E14" s="32">
        <v>3</v>
      </c>
      <c r="F14" s="32" t="s">
        <v>12</v>
      </c>
      <c r="G14" s="32" t="s">
        <v>11</v>
      </c>
      <c r="H14" s="32" t="s">
        <v>85</v>
      </c>
    </row>
    <row r="15" spans="1:8" ht="43.2" x14ac:dyDescent="0.3">
      <c r="A15" s="32" t="s">
        <v>459</v>
      </c>
      <c r="B15" s="32" t="s">
        <v>450</v>
      </c>
      <c r="C15" s="32" t="s">
        <v>86</v>
      </c>
      <c r="D15" s="32" t="s">
        <v>412</v>
      </c>
      <c r="E15" s="32">
        <v>7</v>
      </c>
      <c r="F15" s="32" t="s">
        <v>41</v>
      </c>
      <c r="G15" s="32" t="s">
        <v>11</v>
      </c>
      <c r="H15" s="32" t="s">
        <v>87</v>
      </c>
    </row>
    <row r="16" spans="1:8" ht="43.2" x14ac:dyDescent="0.3">
      <c r="A16" s="32" t="s">
        <v>463</v>
      </c>
      <c r="B16" s="32" t="s">
        <v>450</v>
      </c>
      <c r="C16" s="32" t="s">
        <v>88</v>
      </c>
      <c r="D16" s="32" t="s">
        <v>365</v>
      </c>
      <c r="E16" s="32">
        <v>60</v>
      </c>
      <c r="F16" s="32" t="s">
        <v>12</v>
      </c>
      <c r="G16" s="32" t="s">
        <v>11</v>
      </c>
      <c r="H16" s="32" t="s">
        <v>89</v>
      </c>
    </row>
    <row r="17" spans="1:8" ht="43.2" x14ac:dyDescent="0.3">
      <c r="A17" s="32" t="s">
        <v>468</v>
      </c>
      <c r="B17" s="32" t="s">
        <v>450</v>
      </c>
      <c r="C17" s="32" t="s">
        <v>90</v>
      </c>
      <c r="D17" s="32" t="s">
        <v>365</v>
      </c>
      <c r="E17" s="32">
        <v>28</v>
      </c>
      <c r="F17" s="32" t="s">
        <v>41</v>
      </c>
      <c r="G17" s="32" t="s">
        <v>11</v>
      </c>
      <c r="H17" s="32" t="s">
        <v>91</v>
      </c>
    </row>
    <row r="18" spans="1:8" ht="57.6" x14ac:dyDescent="0.3">
      <c r="A18" s="32" t="s">
        <v>473</v>
      </c>
      <c r="B18" s="32" t="s">
        <v>450</v>
      </c>
      <c r="C18" s="32" t="s">
        <v>92</v>
      </c>
      <c r="D18" s="32" t="s">
        <v>365</v>
      </c>
      <c r="E18" s="32">
        <v>36</v>
      </c>
      <c r="F18" s="32" t="s">
        <v>41</v>
      </c>
      <c r="G18" s="32" t="s">
        <v>11</v>
      </c>
      <c r="H18" s="32" t="s">
        <v>93</v>
      </c>
    </row>
    <row r="19" spans="1:8" ht="43.2" x14ac:dyDescent="0.3">
      <c r="A19" s="32" t="s">
        <v>478</v>
      </c>
      <c r="B19" s="32" t="s">
        <v>450</v>
      </c>
      <c r="C19" s="32" t="s">
        <v>94</v>
      </c>
      <c r="D19" s="32" t="s">
        <v>365</v>
      </c>
      <c r="E19" s="32">
        <v>60</v>
      </c>
      <c r="F19" s="32" t="s">
        <v>41</v>
      </c>
      <c r="G19" s="32" t="s">
        <v>11</v>
      </c>
      <c r="H19" s="32" t="s">
        <v>95</v>
      </c>
    </row>
    <row r="20" spans="1:8" ht="43.2" x14ac:dyDescent="0.3">
      <c r="A20" s="32" t="s">
        <v>482</v>
      </c>
      <c r="B20" s="32" t="s">
        <v>450</v>
      </c>
      <c r="C20" s="32" t="s">
        <v>96</v>
      </c>
      <c r="D20" s="32" t="s">
        <v>365</v>
      </c>
      <c r="E20" s="32">
        <v>18</v>
      </c>
      <c r="F20" s="32" t="s">
        <v>41</v>
      </c>
      <c r="G20" s="32" t="s">
        <v>11</v>
      </c>
      <c r="H20" s="32" t="s">
        <v>97</v>
      </c>
    </row>
    <row r="21" spans="1:8" ht="43.2" x14ac:dyDescent="0.3">
      <c r="A21" s="32" t="s">
        <v>487</v>
      </c>
      <c r="B21" s="32" t="s">
        <v>450</v>
      </c>
      <c r="C21" s="32" t="s">
        <v>98</v>
      </c>
      <c r="D21" s="32" t="s">
        <v>365</v>
      </c>
      <c r="E21" s="32">
        <v>34</v>
      </c>
      <c r="F21" s="32" t="s">
        <v>41</v>
      </c>
      <c r="G21" s="32" t="s">
        <v>11</v>
      </c>
      <c r="H21" s="32" t="s">
        <v>99</v>
      </c>
    </row>
    <row r="22" spans="1:8" ht="43.2" x14ac:dyDescent="0.3">
      <c r="A22" s="32" t="s">
        <v>491</v>
      </c>
      <c r="B22" s="32" t="s">
        <v>450</v>
      </c>
      <c r="C22" s="32" t="s">
        <v>100</v>
      </c>
      <c r="D22" s="32" t="s">
        <v>365</v>
      </c>
      <c r="E22" s="32">
        <v>45</v>
      </c>
      <c r="F22" s="32" t="s">
        <v>41</v>
      </c>
      <c r="G22" s="32" t="s">
        <v>46</v>
      </c>
      <c r="H22" s="32" t="s">
        <v>101</v>
      </c>
    </row>
    <row r="23" spans="1:8" ht="86.4" x14ac:dyDescent="0.3">
      <c r="A23" s="32" t="s">
        <v>496</v>
      </c>
      <c r="B23" s="32" t="s">
        <v>450</v>
      </c>
      <c r="C23" s="32" t="s">
        <v>102</v>
      </c>
      <c r="D23" s="32" t="s">
        <v>498</v>
      </c>
      <c r="E23" s="32">
        <v>0</v>
      </c>
      <c r="F23" s="32" t="s">
        <v>41</v>
      </c>
      <c r="G23" s="32" t="s">
        <v>71</v>
      </c>
      <c r="H23" s="32" t="s">
        <v>104</v>
      </c>
    </row>
    <row r="24" spans="1:8" ht="28.8" x14ac:dyDescent="0.3">
      <c r="A24" s="32" t="s">
        <v>512</v>
      </c>
      <c r="B24" s="32" t="s">
        <v>502</v>
      </c>
      <c r="C24" s="32" t="s">
        <v>109</v>
      </c>
      <c r="D24" s="32" t="s">
        <v>406</v>
      </c>
      <c r="E24" s="32">
        <v>49</v>
      </c>
      <c r="F24" s="32" t="s">
        <v>12</v>
      </c>
      <c r="G24" s="32" t="s">
        <v>11</v>
      </c>
      <c r="H24" s="32" t="s">
        <v>110</v>
      </c>
    </row>
    <row r="25" spans="1:8" x14ac:dyDescent="0.3">
      <c r="A25" s="32" t="s">
        <v>547</v>
      </c>
      <c r="B25" s="32" t="s">
        <v>502</v>
      </c>
      <c r="C25" s="32" t="s">
        <v>126</v>
      </c>
      <c r="D25" s="32" t="s">
        <v>308</v>
      </c>
      <c r="E25" s="32">
        <v>8.5</v>
      </c>
      <c r="F25" s="32" t="s">
        <v>41</v>
      </c>
      <c r="G25" s="32" t="s">
        <v>11</v>
      </c>
      <c r="H25" s="32" t="s">
        <v>127</v>
      </c>
    </row>
    <row r="26" spans="1:8" ht="28.8" x14ac:dyDescent="0.3">
      <c r="A26" s="32" t="s">
        <v>552</v>
      </c>
      <c r="B26" s="32" t="s">
        <v>502</v>
      </c>
      <c r="C26" s="32" t="s">
        <v>128</v>
      </c>
      <c r="D26" s="32" t="s">
        <v>365</v>
      </c>
      <c r="E26" s="32">
        <v>2</v>
      </c>
      <c r="F26" s="32" t="s">
        <v>41</v>
      </c>
      <c r="G26" s="32" t="s">
        <v>11</v>
      </c>
      <c r="H26" s="32" t="s">
        <v>129</v>
      </c>
    </row>
    <row r="27" spans="1:8" ht="43.2" x14ac:dyDescent="0.3">
      <c r="A27" s="32" t="s">
        <v>574</v>
      </c>
      <c r="B27" s="32" t="s">
        <v>569</v>
      </c>
      <c r="C27" s="32" t="s">
        <v>137</v>
      </c>
      <c r="D27" s="32" t="s">
        <v>365</v>
      </c>
      <c r="E27" s="32">
        <v>126</v>
      </c>
      <c r="F27" s="32" t="s">
        <v>12</v>
      </c>
      <c r="G27" s="32" t="s">
        <v>11</v>
      </c>
      <c r="H27" s="32" t="s">
        <v>139</v>
      </c>
    </row>
    <row r="28" spans="1:8" ht="28.8" x14ac:dyDescent="0.3">
      <c r="A28" s="32" t="s">
        <v>613</v>
      </c>
      <c r="B28" s="32" t="s">
        <v>569</v>
      </c>
      <c r="C28" s="32" t="s">
        <v>152</v>
      </c>
      <c r="D28" s="32" t="s">
        <v>498</v>
      </c>
      <c r="E28" s="32">
        <v>0</v>
      </c>
      <c r="F28" s="32" t="s">
        <v>41</v>
      </c>
      <c r="G28" s="32" t="s">
        <v>71</v>
      </c>
      <c r="H28" s="32" t="s">
        <v>153</v>
      </c>
    </row>
    <row r="29" spans="1:8" ht="43.2" x14ac:dyDescent="0.3">
      <c r="A29" s="32" t="s">
        <v>677</v>
      </c>
      <c r="B29" s="32" t="s">
        <v>617</v>
      </c>
      <c r="C29" s="32" t="s">
        <v>183</v>
      </c>
      <c r="D29" s="32" t="s">
        <v>365</v>
      </c>
      <c r="E29" s="32">
        <v>64</v>
      </c>
      <c r="F29" s="32" t="s">
        <v>41</v>
      </c>
      <c r="G29" s="32" t="s">
        <v>11</v>
      </c>
      <c r="H29" s="32" t="s">
        <v>184</v>
      </c>
    </row>
    <row r="30" spans="1:8" ht="43.2" x14ac:dyDescent="0.3">
      <c r="A30" s="32" t="s">
        <v>689</v>
      </c>
      <c r="B30" s="32" t="s">
        <v>617</v>
      </c>
      <c r="C30" s="32" t="s">
        <v>185</v>
      </c>
      <c r="D30" s="32" t="s">
        <v>365</v>
      </c>
      <c r="E30" s="32">
        <v>16</v>
      </c>
      <c r="F30" s="32" t="s">
        <v>41</v>
      </c>
      <c r="G30" s="32" t="s">
        <v>11</v>
      </c>
      <c r="H30" s="32" t="s">
        <v>184</v>
      </c>
    </row>
    <row r="31" spans="1:8" ht="43.2" x14ac:dyDescent="0.3">
      <c r="A31" s="32" t="s">
        <v>701</v>
      </c>
      <c r="B31" s="32" t="s">
        <v>617</v>
      </c>
      <c r="C31" s="32" t="s">
        <v>186</v>
      </c>
      <c r="D31" s="32" t="s">
        <v>365</v>
      </c>
      <c r="E31" s="32">
        <v>8</v>
      </c>
      <c r="F31" s="32" t="s">
        <v>41</v>
      </c>
      <c r="G31" s="32" t="s">
        <v>11</v>
      </c>
      <c r="H31" s="32" t="s">
        <v>184</v>
      </c>
    </row>
    <row r="32" spans="1:8" ht="57.6" x14ac:dyDescent="0.3">
      <c r="A32" s="32" t="s">
        <v>723</v>
      </c>
      <c r="B32" s="32" t="s">
        <v>617</v>
      </c>
      <c r="C32" s="32" t="s">
        <v>193</v>
      </c>
      <c r="D32" s="32" t="s">
        <v>314</v>
      </c>
      <c r="E32" s="32">
        <v>6.48</v>
      </c>
      <c r="F32" s="32" t="s">
        <v>41</v>
      </c>
      <c r="G32" s="32" t="s">
        <v>11</v>
      </c>
      <c r="H32" s="32" t="s">
        <v>194</v>
      </c>
    </row>
    <row r="33" spans="1:8" ht="57.6" x14ac:dyDescent="0.3">
      <c r="A33" s="32" t="s">
        <v>728</v>
      </c>
      <c r="B33" s="32" t="s">
        <v>617</v>
      </c>
      <c r="C33" s="32" t="s">
        <v>195</v>
      </c>
      <c r="D33" s="32" t="s">
        <v>314</v>
      </c>
      <c r="E33" s="32">
        <v>1.2</v>
      </c>
      <c r="F33" s="32" t="s">
        <v>41</v>
      </c>
      <c r="G33" s="32" t="s">
        <v>11</v>
      </c>
      <c r="H33" s="32" t="s">
        <v>196</v>
      </c>
    </row>
    <row r="34" spans="1:8" ht="57.6" x14ac:dyDescent="0.3">
      <c r="A34" s="32" t="s">
        <v>733</v>
      </c>
      <c r="B34" s="32" t="s">
        <v>617</v>
      </c>
      <c r="C34" s="32" t="s">
        <v>197</v>
      </c>
      <c r="D34" s="32" t="s">
        <v>314</v>
      </c>
      <c r="E34" s="32">
        <v>1.39</v>
      </c>
      <c r="F34" s="32" t="s">
        <v>41</v>
      </c>
      <c r="G34" s="32" t="s">
        <v>11</v>
      </c>
      <c r="H34" s="32" t="s">
        <v>198</v>
      </c>
    </row>
    <row r="35" spans="1:8" ht="57.6" x14ac:dyDescent="0.3">
      <c r="A35" s="32" t="s">
        <v>738</v>
      </c>
      <c r="B35" s="32" t="s">
        <v>617</v>
      </c>
      <c r="C35" s="32" t="s">
        <v>199</v>
      </c>
      <c r="D35" s="32" t="s">
        <v>365</v>
      </c>
      <c r="E35" s="32">
        <v>1</v>
      </c>
      <c r="F35" s="32" t="s">
        <v>12</v>
      </c>
      <c r="G35" s="32" t="s">
        <v>46</v>
      </c>
      <c r="H35" s="32" t="s">
        <v>200</v>
      </c>
    </row>
    <row r="36" spans="1:8" ht="28.8" x14ac:dyDescent="0.3">
      <c r="A36" s="32" t="s">
        <v>776</v>
      </c>
      <c r="B36" s="32" t="s">
        <v>752</v>
      </c>
      <c r="C36" s="32" t="s">
        <v>215</v>
      </c>
      <c r="D36" s="32" t="s">
        <v>406</v>
      </c>
      <c r="E36" s="32">
        <v>7</v>
      </c>
      <c r="F36" s="32" t="s">
        <v>41</v>
      </c>
      <c r="G36" s="32" t="s">
        <v>46</v>
      </c>
      <c r="H36" s="32" t="s">
        <v>217</v>
      </c>
    </row>
    <row r="37" spans="1:8" x14ac:dyDescent="0.3">
      <c r="A37" s="32" t="s">
        <v>806</v>
      </c>
      <c r="B37" s="32" t="s">
        <v>807</v>
      </c>
      <c r="C37" s="32" t="s">
        <v>228</v>
      </c>
      <c r="D37" s="32" t="s">
        <v>365</v>
      </c>
      <c r="E37" s="32">
        <v>1</v>
      </c>
      <c r="F37" s="32" t="s">
        <v>41</v>
      </c>
      <c r="G37" s="32" t="s">
        <v>46</v>
      </c>
      <c r="H37" s="32" t="s">
        <v>230</v>
      </c>
    </row>
    <row r="38" spans="1:8" x14ac:dyDescent="0.3">
      <c r="A38" s="32" t="s">
        <v>812</v>
      </c>
      <c r="B38" s="32" t="s">
        <v>807</v>
      </c>
      <c r="C38" s="32" t="s">
        <v>231</v>
      </c>
      <c r="D38" s="32" t="s">
        <v>814</v>
      </c>
      <c r="E38" s="32">
        <v>1</v>
      </c>
      <c r="F38" s="32" t="s">
        <v>41</v>
      </c>
      <c r="G38" s="32" t="s">
        <v>46</v>
      </c>
      <c r="H38" s="32" t="s">
        <v>230</v>
      </c>
    </row>
    <row r="39" spans="1:8" x14ac:dyDescent="0.3">
      <c r="A39" s="32" t="s">
        <v>816</v>
      </c>
      <c r="B39" s="32" t="s">
        <v>807</v>
      </c>
      <c r="C39" s="32" t="s">
        <v>232</v>
      </c>
      <c r="D39" s="32" t="s">
        <v>498</v>
      </c>
      <c r="E39" s="32">
        <v>1</v>
      </c>
      <c r="F39" s="32" t="s">
        <v>41</v>
      </c>
      <c r="G39" s="32" t="s">
        <v>46</v>
      </c>
      <c r="H39" s="32" t="s">
        <v>230</v>
      </c>
    </row>
    <row r="40" spans="1:8" x14ac:dyDescent="0.3">
      <c r="A40" s="32" t="s">
        <v>819</v>
      </c>
      <c r="B40" s="32" t="s">
        <v>807</v>
      </c>
      <c r="C40" s="32" t="s">
        <v>233</v>
      </c>
      <c r="D40" s="32" t="s">
        <v>498</v>
      </c>
      <c r="E40" s="32">
        <v>1</v>
      </c>
      <c r="F40" s="32" t="s">
        <v>41</v>
      </c>
      <c r="G40" s="32" t="s">
        <v>46</v>
      </c>
      <c r="H40" s="32" t="s">
        <v>230</v>
      </c>
    </row>
    <row r="41" spans="1:8" x14ac:dyDescent="0.3">
      <c r="A41" s="32" t="s">
        <v>822</v>
      </c>
      <c r="B41" s="32" t="s">
        <v>807</v>
      </c>
      <c r="C41" s="32" t="s">
        <v>234</v>
      </c>
      <c r="D41" s="32" t="s">
        <v>498</v>
      </c>
      <c r="E41" s="32">
        <v>1</v>
      </c>
      <c r="F41" s="32" t="s">
        <v>41</v>
      </c>
      <c r="G41" s="32" t="s">
        <v>46</v>
      </c>
      <c r="H41" s="32" t="s">
        <v>235</v>
      </c>
    </row>
    <row r="42" spans="1:8" x14ac:dyDescent="0.3">
      <c r="A42" s="32" t="s">
        <v>827</v>
      </c>
      <c r="B42" s="32" t="s">
        <v>807</v>
      </c>
      <c r="C42" s="32" t="s">
        <v>228</v>
      </c>
      <c r="D42" s="32" t="s">
        <v>365</v>
      </c>
      <c r="E42" s="32">
        <v>1</v>
      </c>
      <c r="F42" s="32" t="s">
        <v>41</v>
      </c>
      <c r="G42" s="32" t="s">
        <v>46</v>
      </c>
      <c r="H42" s="32" t="s">
        <v>236</v>
      </c>
    </row>
    <row r="43" spans="1:8" x14ac:dyDescent="0.3">
      <c r="A43" s="32" t="s">
        <v>832</v>
      </c>
      <c r="B43" s="32" t="s">
        <v>807</v>
      </c>
      <c r="C43" s="32" t="s">
        <v>231</v>
      </c>
      <c r="D43" s="32" t="s">
        <v>814</v>
      </c>
      <c r="E43" s="32">
        <v>1</v>
      </c>
      <c r="F43" s="32" t="s">
        <v>41</v>
      </c>
      <c r="G43" s="32" t="s">
        <v>46</v>
      </c>
      <c r="H43" s="32" t="s">
        <v>236</v>
      </c>
    </row>
    <row r="44" spans="1:8" x14ac:dyDescent="0.3">
      <c r="A44" s="32" t="s">
        <v>834</v>
      </c>
      <c r="B44" s="32" t="s">
        <v>807</v>
      </c>
      <c r="C44" s="32" t="s">
        <v>237</v>
      </c>
      <c r="D44" s="32" t="s">
        <v>498</v>
      </c>
      <c r="E44" s="32">
        <v>1</v>
      </c>
      <c r="F44" s="32" t="s">
        <v>41</v>
      </c>
      <c r="G44" s="32" t="s">
        <v>46</v>
      </c>
      <c r="H44" s="32" t="s">
        <v>236</v>
      </c>
    </row>
    <row r="45" spans="1:8" x14ac:dyDescent="0.3">
      <c r="A45" s="32" t="s">
        <v>837</v>
      </c>
      <c r="B45" s="32" t="s">
        <v>807</v>
      </c>
      <c r="C45" s="32" t="s">
        <v>233</v>
      </c>
      <c r="D45" s="32" t="s">
        <v>498</v>
      </c>
      <c r="E45" s="32">
        <v>1</v>
      </c>
      <c r="F45" s="32" t="s">
        <v>41</v>
      </c>
      <c r="G45" s="32" t="s">
        <v>46</v>
      </c>
      <c r="H45" s="32" t="s">
        <v>238</v>
      </c>
    </row>
    <row r="46" spans="1:8" x14ac:dyDescent="0.3">
      <c r="A46" s="32" t="s">
        <v>842</v>
      </c>
      <c r="B46" s="32" t="s">
        <v>807</v>
      </c>
      <c r="C46" s="32" t="s">
        <v>239</v>
      </c>
      <c r="D46" s="32" t="s">
        <v>365</v>
      </c>
      <c r="E46" s="32">
        <v>1</v>
      </c>
      <c r="F46" s="32" t="s">
        <v>12</v>
      </c>
      <c r="G46" s="32" t="s">
        <v>46</v>
      </c>
      <c r="H46" s="32" t="s">
        <v>240</v>
      </c>
    </row>
    <row r="47" spans="1:8" x14ac:dyDescent="0.3">
      <c r="A47" s="32" t="s">
        <v>847</v>
      </c>
      <c r="B47" s="32" t="s">
        <v>807</v>
      </c>
      <c r="C47" s="32" t="s">
        <v>241</v>
      </c>
      <c r="D47" s="32" t="s">
        <v>365</v>
      </c>
      <c r="E47" s="32">
        <v>1</v>
      </c>
      <c r="F47" s="32" t="s">
        <v>12</v>
      </c>
      <c r="G47" s="32" t="s">
        <v>46</v>
      </c>
      <c r="H47" s="32" t="s">
        <v>240</v>
      </c>
    </row>
    <row r="48" spans="1:8" x14ac:dyDescent="0.3">
      <c r="A48" s="32" t="s">
        <v>850</v>
      </c>
      <c r="B48" s="32" t="s">
        <v>807</v>
      </c>
      <c r="C48" s="32" t="s">
        <v>228</v>
      </c>
      <c r="D48" s="32" t="s">
        <v>365</v>
      </c>
      <c r="E48" s="32">
        <v>1</v>
      </c>
      <c r="F48" s="32" t="s">
        <v>12</v>
      </c>
      <c r="G48" s="32" t="s">
        <v>46</v>
      </c>
      <c r="H48" s="32" t="s">
        <v>240</v>
      </c>
    </row>
    <row r="49" spans="1:8" x14ac:dyDescent="0.3">
      <c r="A49" s="32" t="s">
        <v>853</v>
      </c>
      <c r="B49" s="32" t="s">
        <v>807</v>
      </c>
      <c r="C49" s="32" t="s">
        <v>231</v>
      </c>
      <c r="D49" s="32" t="s">
        <v>814</v>
      </c>
      <c r="E49" s="32">
        <v>1</v>
      </c>
      <c r="F49" s="32" t="s">
        <v>12</v>
      </c>
      <c r="G49" s="32" t="s">
        <v>46</v>
      </c>
      <c r="H49" s="32" t="s">
        <v>240</v>
      </c>
    </row>
    <row r="50" spans="1:8" x14ac:dyDescent="0.3">
      <c r="A50" s="32" t="s">
        <v>855</v>
      </c>
      <c r="B50" s="32" t="s">
        <v>807</v>
      </c>
      <c r="C50" s="32" t="s">
        <v>242</v>
      </c>
      <c r="D50" s="32" t="s">
        <v>365</v>
      </c>
      <c r="E50" s="32">
        <v>1</v>
      </c>
      <c r="F50" s="32" t="s">
        <v>41</v>
      </c>
      <c r="G50" s="32" t="s">
        <v>46</v>
      </c>
      <c r="H50" s="32" t="s">
        <v>240</v>
      </c>
    </row>
    <row r="51" spans="1:8" x14ac:dyDescent="0.3">
      <c r="A51" s="32" t="s">
        <v>858</v>
      </c>
      <c r="B51" s="32" t="s">
        <v>807</v>
      </c>
      <c r="C51" s="32" t="s">
        <v>243</v>
      </c>
      <c r="D51" s="32" t="s">
        <v>365</v>
      </c>
      <c r="E51" s="32">
        <v>1</v>
      </c>
      <c r="F51" s="32" t="s">
        <v>41</v>
      </c>
      <c r="G51" s="32" t="s">
        <v>46</v>
      </c>
      <c r="H51" s="32" t="s">
        <v>240</v>
      </c>
    </row>
    <row r="52" spans="1:8" x14ac:dyDescent="0.3">
      <c r="A52" s="32" t="s">
        <v>861</v>
      </c>
      <c r="B52" s="32" t="s">
        <v>807</v>
      </c>
      <c r="C52" s="32" t="s">
        <v>244</v>
      </c>
      <c r="D52" s="32" t="s">
        <v>365</v>
      </c>
      <c r="E52" s="32">
        <v>1</v>
      </c>
      <c r="F52" s="32" t="s">
        <v>41</v>
      </c>
      <c r="G52" s="32" t="s">
        <v>46</v>
      </c>
      <c r="H52" s="32" t="s">
        <v>240</v>
      </c>
    </row>
    <row r="53" spans="1:8" x14ac:dyDescent="0.3">
      <c r="A53" s="32" t="s">
        <v>864</v>
      </c>
      <c r="B53" s="32" t="s">
        <v>807</v>
      </c>
      <c r="C53" s="32" t="s">
        <v>245</v>
      </c>
      <c r="D53" s="32" t="s">
        <v>365</v>
      </c>
      <c r="E53" s="32">
        <v>1</v>
      </c>
      <c r="F53" s="32" t="s">
        <v>12</v>
      </c>
      <c r="G53" s="32" t="s">
        <v>46</v>
      </c>
      <c r="H53" s="32" t="s">
        <v>240</v>
      </c>
    </row>
    <row r="54" spans="1:8" x14ac:dyDescent="0.3">
      <c r="A54" s="32" t="s">
        <v>867</v>
      </c>
      <c r="B54" s="32" t="s">
        <v>807</v>
      </c>
      <c r="C54" s="32" t="s">
        <v>237</v>
      </c>
      <c r="D54" s="32" t="s">
        <v>498</v>
      </c>
      <c r="E54" s="32">
        <v>1</v>
      </c>
      <c r="F54" s="32" t="s">
        <v>12</v>
      </c>
      <c r="G54" s="32" t="s">
        <v>46</v>
      </c>
      <c r="H54" s="32" t="s">
        <v>240</v>
      </c>
    </row>
    <row r="55" spans="1:8" ht="43.2" x14ac:dyDescent="0.3">
      <c r="A55" s="32" t="s">
        <v>870</v>
      </c>
      <c r="B55" s="32" t="s">
        <v>807</v>
      </c>
      <c r="C55" s="32" t="s">
        <v>246</v>
      </c>
      <c r="D55" s="32" t="s">
        <v>314</v>
      </c>
      <c r="E55" s="32">
        <v>15.3</v>
      </c>
      <c r="F55" s="32" t="s">
        <v>41</v>
      </c>
      <c r="G55" s="32" t="s">
        <v>46</v>
      </c>
      <c r="H55" s="32" t="s">
        <v>248</v>
      </c>
    </row>
    <row r="56" spans="1:8" ht="43.2" x14ac:dyDescent="0.3">
      <c r="A56" s="32" t="s">
        <v>875</v>
      </c>
      <c r="B56" s="32" t="s">
        <v>807</v>
      </c>
      <c r="C56" s="32" t="s">
        <v>249</v>
      </c>
      <c r="D56" s="32" t="s">
        <v>314</v>
      </c>
      <c r="E56" s="32">
        <v>5.78</v>
      </c>
      <c r="F56" s="32" t="s">
        <v>12</v>
      </c>
      <c r="G56" s="32" t="s">
        <v>46</v>
      </c>
      <c r="H56" s="32" t="s">
        <v>250</v>
      </c>
    </row>
    <row r="57" spans="1:8" x14ac:dyDescent="0.3">
      <c r="A57" s="32" t="s">
        <v>879</v>
      </c>
      <c r="B57" s="32" t="s">
        <v>807</v>
      </c>
      <c r="C57" s="32" t="s">
        <v>234</v>
      </c>
      <c r="D57" s="32" t="s">
        <v>498</v>
      </c>
      <c r="E57" s="32">
        <v>1</v>
      </c>
      <c r="F57" s="32" t="s">
        <v>41</v>
      </c>
      <c r="G57" s="32" t="s">
        <v>46</v>
      </c>
      <c r="H57" s="32" t="s">
        <v>251</v>
      </c>
    </row>
    <row r="58" spans="1:8" ht="86.4" x14ac:dyDescent="0.3">
      <c r="A58" s="32" t="s">
        <v>883</v>
      </c>
      <c r="B58" s="32" t="s">
        <v>807</v>
      </c>
      <c r="C58" s="32" t="s">
        <v>252</v>
      </c>
      <c r="D58" s="32" t="s">
        <v>498</v>
      </c>
      <c r="E58" s="32">
        <v>0</v>
      </c>
      <c r="F58" s="32" t="s">
        <v>41</v>
      </c>
      <c r="G58" s="32" t="s">
        <v>71</v>
      </c>
      <c r="H58" s="32" t="s">
        <v>254</v>
      </c>
    </row>
    <row r="59" spans="1:8" ht="57.6" x14ac:dyDescent="0.3">
      <c r="A59" s="32" t="s">
        <v>887</v>
      </c>
      <c r="B59" s="32" t="s">
        <v>807</v>
      </c>
      <c r="C59" s="32" t="s">
        <v>255</v>
      </c>
      <c r="D59" s="32" t="s">
        <v>498</v>
      </c>
      <c r="E59" s="32">
        <v>0</v>
      </c>
      <c r="F59" s="32" t="s">
        <v>41</v>
      </c>
      <c r="G59" s="32" t="s">
        <v>71</v>
      </c>
      <c r="H59" s="32" t="s">
        <v>256</v>
      </c>
    </row>
    <row r="60" spans="1:8" x14ac:dyDescent="0.3">
      <c r="A60" s="32" t="s">
        <v>891</v>
      </c>
      <c r="B60" s="32" t="s">
        <v>807</v>
      </c>
      <c r="C60" s="32" t="s">
        <v>257</v>
      </c>
      <c r="D60" s="32" t="s">
        <v>498</v>
      </c>
      <c r="E60" s="32">
        <v>1</v>
      </c>
      <c r="F60" s="32" t="s">
        <v>41</v>
      </c>
      <c r="G60" s="32" t="s">
        <v>46</v>
      </c>
      <c r="H60" s="32" t="s">
        <v>259</v>
      </c>
    </row>
    <row r="61" spans="1:8" x14ac:dyDescent="0.3">
      <c r="A61" s="32" t="s">
        <v>895</v>
      </c>
      <c r="B61" s="32" t="s">
        <v>807</v>
      </c>
      <c r="C61" s="32" t="s">
        <v>260</v>
      </c>
      <c r="D61" s="32" t="s">
        <v>498</v>
      </c>
      <c r="E61" s="32">
        <v>1</v>
      </c>
      <c r="F61" s="32" t="s">
        <v>41</v>
      </c>
      <c r="G61" s="32" t="s">
        <v>46</v>
      </c>
      <c r="H61" s="32" t="s">
        <v>261</v>
      </c>
    </row>
    <row r="62" spans="1:8" x14ac:dyDescent="0.3">
      <c r="A62" s="32" t="s">
        <v>897</v>
      </c>
      <c r="B62" s="32" t="s">
        <v>807</v>
      </c>
      <c r="C62" s="32" t="s">
        <v>262</v>
      </c>
      <c r="D62" s="32" t="s">
        <v>498</v>
      </c>
      <c r="E62" s="32">
        <v>1</v>
      </c>
      <c r="F62" s="32" t="s">
        <v>41</v>
      </c>
      <c r="G62" s="32" t="s">
        <v>46</v>
      </c>
      <c r="H62" s="32" t="s">
        <v>263</v>
      </c>
    </row>
    <row r="63" spans="1:8" x14ac:dyDescent="0.3">
      <c r="A63" s="32" t="s">
        <v>899</v>
      </c>
      <c r="B63" s="32" t="s">
        <v>807</v>
      </c>
      <c r="C63" s="32" t="s">
        <v>264</v>
      </c>
      <c r="D63" s="32" t="s">
        <v>365</v>
      </c>
      <c r="E63" s="32">
        <v>3</v>
      </c>
      <c r="F63" s="32" t="s">
        <v>41</v>
      </c>
      <c r="G63" s="32" t="s">
        <v>46</v>
      </c>
      <c r="H63" s="32" t="s">
        <v>265</v>
      </c>
    </row>
    <row r="64" spans="1:8" ht="28.8" x14ac:dyDescent="0.3">
      <c r="A64" s="32" t="s">
        <v>907</v>
      </c>
      <c r="B64" s="32" t="s">
        <v>908</v>
      </c>
      <c r="C64" s="32" t="s">
        <v>271</v>
      </c>
      <c r="D64" s="32" t="s">
        <v>365</v>
      </c>
      <c r="E64" s="32">
        <v>1</v>
      </c>
      <c r="F64" s="32" t="s">
        <v>41</v>
      </c>
      <c r="G64" s="32" t="s">
        <v>46</v>
      </c>
      <c r="H64" s="32" t="s">
        <v>272</v>
      </c>
    </row>
    <row r="65" spans="1:8" x14ac:dyDescent="0.3">
      <c r="A65" s="32" t="s">
        <v>913</v>
      </c>
      <c r="B65" s="32" t="s">
        <v>908</v>
      </c>
      <c r="C65" s="32" t="s">
        <v>273</v>
      </c>
      <c r="D65" s="32" t="s">
        <v>365</v>
      </c>
      <c r="E65" s="32">
        <v>3</v>
      </c>
      <c r="F65" s="32" t="s">
        <v>41</v>
      </c>
      <c r="G65" s="32" t="s">
        <v>46</v>
      </c>
      <c r="H65" s="32" t="s">
        <v>127</v>
      </c>
    </row>
    <row r="66" spans="1:8" ht="28.8" x14ac:dyDescent="0.3">
      <c r="A66" s="32" t="s">
        <v>922</v>
      </c>
      <c r="B66" s="32" t="s">
        <v>908</v>
      </c>
      <c r="C66" s="32" t="s">
        <v>276</v>
      </c>
      <c r="D66" s="32" t="s">
        <v>308</v>
      </c>
      <c r="E66" s="32">
        <v>0.75</v>
      </c>
      <c r="F66" s="32" t="s">
        <v>41</v>
      </c>
      <c r="G66" s="32" t="s">
        <v>11</v>
      </c>
      <c r="H66" s="32" t="s">
        <v>277</v>
      </c>
    </row>
    <row r="67" spans="1:8" ht="28.8" x14ac:dyDescent="0.3">
      <c r="A67" s="32" t="s">
        <v>925</v>
      </c>
      <c r="B67" s="32" t="s">
        <v>908</v>
      </c>
      <c r="C67" s="32" t="s">
        <v>278</v>
      </c>
      <c r="D67" s="32" t="s">
        <v>365</v>
      </c>
      <c r="E67" s="32">
        <v>1</v>
      </c>
      <c r="F67" s="32" t="s">
        <v>41</v>
      </c>
      <c r="G67" s="32" t="s">
        <v>11</v>
      </c>
      <c r="H67" s="32" t="s">
        <v>279</v>
      </c>
    </row>
    <row r="68" spans="1:8" ht="28.8" x14ac:dyDescent="0.3">
      <c r="A68" s="32" t="s">
        <v>930</v>
      </c>
      <c r="B68" s="32" t="s">
        <v>908</v>
      </c>
      <c r="C68" s="32" t="s">
        <v>276</v>
      </c>
      <c r="D68" s="32" t="s">
        <v>314</v>
      </c>
      <c r="E68" s="32">
        <v>0.75</v>
      </c>
      <c r="F68" s="32" t="s">
        <v>41</v>
      </c>
      <c r="G68" s="32" t="s">
        <v>46</v>
      </c>
      <c r="H68" s="32" t="s">
        <v>280</v>
      </c>
    </row>
    <row r="69" spans="1:8" ht="28.8" x14ac:dyDescent="0.3">
      <c r="A69" s="32" t="s">
        <v>934</v>
      </c>
      <c r="B69" s="32" t="s">
        <v>908</v>
      </c>
      <c r="C69" s="32" t="s">
        <v>281</v>
      </c>
      <c r="D69" s="32" t="s">
        <v>308</v>
      </c>
      <c r="E69" s="32">
        <v>0.75</v>
      </c>
      <c r="F69" s="32" t="s">
        <v>41</v>
      </c>
      <c r="G69" s="32" t="s">
        <v>11</v>
      </c>
      <c r="H69" s="32" t="s">
        <v>282</v>
      </c>
    </row>
    <row r="70" spans="1:8" ht="43.2" x14ac:dyDescent="0.3">
      <c r="A70" s="32" t="s">
        <v>936</v>
      </c>
      <c r="B70" s="32" t="s">
        <v>908</v>
      </c>
      <c r="C70" s="32" t="s">
        <v>283</v>
      </c>
      <c r="D70" s="32" t="s">
        <v>314</v>
      </c>
      <c r="E70" s="32">
        <v>8.82</v>
      </c>
      <c r="F70" s="32" t="s">
        <v>41</v>
      </c>
      <c r="G70" s="32" t="s">
        <v>46</v>
      </c>
      <c r="H70" s="32" t="s">
        <v>285</v>
      </c>
    </row>
    <row r="71" spans="1:8" ht="28.8" x14ac:dyDescent="0.3">
      <c r="A71" s="32" t="s">
        <v>941</v>
      </c>
      <c r="B71" s="32" t="s">
        <v>908</v>
      </c>
      <c r="C71" s="32" t="s">
        <v>286</v>
      </c>
      <c r="D71" s="32" t="s">
        <v>308</v>
      </c>
      <c r="E71" s="32">
        <v>14.7</v>
      </c>
      <c r="F71" s="32" t="s">
        <v>41</v>
      </c>
      <c r="G71" s="32" t="s">
        <v>46</v>
      </c>
      <c r="H71" s="32" t="s">
        <v>288</v>
      </c>
    </row>
    <row r="72" spans="1:8" ht="28.8" x14ac:dyDescent="0.3">
      <c r="A72" s="32" t="s">
        <v>946</v>
      </c>
      <c r="B72" s="32" t="s">
        <v>908</v>
      </c>
      <c r="C72" s="32" t="s">
        <v>289</v>
      </c>
      <c r="D72" s="32" t="s">
        <v>308</v>
      </c>
      <c r="E72" s="32">
        <v>14.7</v>
      </c>
      <c r="F72" s="32" t="s">
        <v>41</v>
      </c>
      <c r="G72" s="32" t="s">
        <v>46</v>
      </c>
      <c r="H72" s="32" t="s">
        <v>290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workbookViewId="0"/>
  </sheetViews>
  <sheetFormatPr defaultRowHeight="14.4" x14ac:dyDescent="0.3"/>
  <cols>
    <col min="1" max="1" width="40" customWidth="1"/>
    <col min="2" max="2" width="12" customWidth="1"/>
    <col min="3" max="3" width="8" customWidth="1"/>
    <col min="4" max="6" width="10" customWidth="1"/>
    <col min="7" max="7" width="12" customWidth="1"/>
  </cols>
  <sheetData>
    <row r="1" spans="1:3" ht="18" x14ac:dyDescent="0.35">
      <c r="A1" s="33" t="s">
        <v>960</v>
      </c>
    </row>
    <row r="3" spans="1:3" x14ac:dyDescent="0.3">
      <c r="A3" s="34" t="s">
        <v>961</v>
      </c>
    </row>
    <row r="4" spans="1:3" x14ac:dyDescent="0.3">
      <c r="A4" t="s">
        <v>962</v>
      </c>
      <c r="B4">
        <v>172</v>
      </c>
    </row>
    <row r="5" spans="1:3" x14ac:dyDescent="0.3">
      <c r="A5" t="s">
        <v>963</v>
      </c>
      <c r="B5">
        <v>20</v>
      </c>
    </row>
    <row r="6" spans="1:3" x14ac:dyDescent="0.3">
      <c r="A6" t="s">
        <v>964</v>
      </c>
      <c r="B6">
        <v>106</v>
      </c>
    </row>
    <row r="7" spans="1:3" x14ac:dyDescent="0.3">
      <c r="A7" t="s">
        <v>965</v>
      </c>
      <c r="B7">
        <v>41</v>
      </c>
    </row>
    <row r="8" spans="1:3" x14ac:dyDescent="0.3">
      <c r="A8" t="s">
        <v>966</v>
      </c>
      <c r="B8">
        <v>5</v>
      </c>
    </row>
    <row r="9" spans="1:3" x14ac:dyDescent="0.3">
      <c r="A9" t="s">
        <v>967</v>
      </c>
      <c r="B9">
        <v>71</v>
      </c>
    </row>
    <row r="11" spans="1:3" x14ac:dyDescent="0.3">
      <c r="A11" s="34" t="s">
        <v>968</v>
      </c>
    </row>
    <row r="12" spans="1:3" x14ac:dyDescent="0.3">
      <c r="A12" t="s">
        <v>28</v>
      </c>
      <c r="B12">
        <v>30</v>
      </c>
      <c r="C12" t="s">
        <v>969</v>
      </c>
    </row>
    <row r="13" spans="1:3" x14ac:dyDescent="0.3">
      <c r="A13" t="s">
        <v>12</v>
      </c>
      <c r="B13">
        <v>75</v>
      </c>
      <c r="C13" t="s">
        <v>970</v>
      </c>
    </row>
    <row r="14" spans="1:3" x14ac:dyDescent="0.3">
      <c r="A14" t="s">
        <v>41</v>
      </c>
      <c r="B14">
        <v>67</v>
      </c>
      <c r="C14" t="s">
        <v>971</v>
      </c>
    </row>
    <row r="16" spans="1:3" x14ac:dyDescent="0.3">
      <c r="A16" s="34" t="s">
        <v>972</v>
      </c>
    </row>
    <row r="17" spans="1:7" x14ac:dyDescent="0.3">
      <c r="A17" s="34" t="s">
        <v>973</v>
      </c>
      <c r="B17" s="34" t="s">
        <v>300</v>
      </c>
      <c r="C17" s="34" t="s">
        <v>974</v>
      </c>
      <c r="D17" s="34" t="s">
        <v>963</v>
      </c>
      <c r="E17" s="34" t="s">
        <v>964</v>
      </c>
      <c r="F17" s="34" t="s">
        <v>965</v>
      </c>
      <c r="G17" s="34" t="s">
        <v>966</v>
      </c>
    </row>
    <row r="18" spans="1:7" x14ac:dyDescent="0.3">
      <c r="A18" t="s">
        <v>975</v>
      </c>
      <c r="B18" t="s">
        <v>976</v>
      </c>
      <c r="C18">
        <v>7</v>
      </c>
      <c r="D18">
        <v>7</v>
      </c>
      <c r="E18">
        <v>0</v>
      </c>
      <c r="F18">
        <v>0</v>
      </c>
      <c r="G18">
        <v>0</v>
      </c>
    </row>
    <row r="19" spans="1:7" x14ac:dyDescent="0.3">
      <c r="A19" t="s">
        <v>977</v>
      </c>
      <c r="B19" t="s">
        <v>976</v>
      </c>
      <c r="C19">
        <v>3</v>
      </c>
      <c r="D19">
        <v>0</v>
      </c>
      <c r="E19">
        <v>3</v>
      </c>
      <c r="F19">
        <v>0</v>
      </c>
      <c r="G19">
        <v>0</v>
      </c>
    </row>
    <row r="20" spans="1:7" x14ac:dyDescent="0.3">
      <c r="A20" t="s">
        <v>978</v>
      </c>
      <c r="B20" t="s">
        <v>976</v>
      </c>
      <c r="C20">
        <v>5</v>
      </c>
      <c r="D20">
        <v>3</v>
      </c>
      <c r="E20">
        <v>2</v>
      </c>
      <c r="F20">
        <v>0</v>
      </c>
      <c r="G20">
        <v>0</v>
      </c>
    </row>
    <row r="21" spans="1:7" x14ac:dyDescent="0.3">
      <c r="A21" t="s">
        <v>979</v>
      </c>
      <c r="B21" t="s">
        <v>976</v>
      </c>
      <c r="C21">
        <v>12</v>
      </c>
      <c r="D21">
        <v>3</v>
      </c>
      <c r="E21">
        <v>9</v>
      </c>
      <c r="F21">
        <v>0</v>
      </c>
      <c r="G21">
        <v>0</v>
      </c>
    </row>
    <row r="22" spans="1:7" x14ac:dyDescent="0.3">
      <c r="A22" t="s">
        <v>980</v>
      </c>
      <c r="B22" t="s">
        <v>976</v>
      </c>
      <c r="C22">
        <v>2</v>
      </c>
      <c r="D22">
        <v>0</v>
      </c>
      <c r="E22">
        <v>2</v>
      </c>
      <c r="F22">
        <v>0</v>
      </c>
      <c r="G22">
        <v>0</v>
      </c>
    </row>
    <row r="23" spans="1:7" x14ac:dyDescent="0.3">
      <c r="A23" t="s">
        <v>981</v>
      </c>
      <c r="B23" t="s">
        <v>976</v>
      </c>
      <c r="C23">
        <v>3</v>
      </c>
      <c r="D23">
        <v>0</v>
      </c>
      <c r="E23">
        <v>3</v>
      </c>
      <c r="F23">
        <v>0</v>
      </c>
      <c r="G23">
        <v>0</v>
      </c>
    </row>
    <row r="24" spans="1:7" x14ac:dyDescent="0.3">
      <c r="A24" t="s">
        <v>982</v>
      </c>
      <c r="B24" t="s">
        <v>976</v>
      </c>
      <c r="C24">
        <v>5</v>
      </c>
      <c r="D24">
        <v>0</v>
      </c>
      <c r="E24">
        <v>5</v>
      </c>
      <c r="F24">
        <v>0</v>
      </c>
      <c r="G24">
        <v>0</v>
      </c>
    </row>
    <row r="25" spans="1:7" x14ac:dyDescent="0.3">
      <c r="A25" t="s">
        <v>983</v>
      </c>
      <c r="B25" t="s">
        <v>976</v>
      </c>
      <c r="C25">
        <v>4</v>
      </c>
      <c r="D25">
        <v>0</v>
      </c>
      <c r="E25">
        <v>4</v>
      </c>
      <c r="F25">
        <v>0</v>
      </c>
      <c r="G25">
        <v>0</v>
      </c>
    </row>
    <row r="26" spans="1:7" x14ac:dyDescent="0.3">
      <c r="A26" t="s">
        <v>984</v>
      </c>
      <c r="B26" t="s">
        <v>985</v>
      </c>
      <c r="C26">
        <v>8</v>
      </c>
      <c r="D26">
        <v>0</v>
      </c>
      <c r="E26">
        <v>2</v>
      </c>
      <c r="F26">
        <v>6</v>
      </c>
      <c r="G26">
        <v>0</v>
      </c>
    </row>
    <row r="27" spans="1:7" x14ac:dyDescent="0.3">
      <c r="A27" t="s">
        <v>986</v>
      </c>
      <c r="B27" t="s">
        <v>976</v>
      </c>
      <c r="C27">
        <v>8</v>
      </c>
      <c r="D27">
        <v>1</v>
      </c>
      <c r="E27">
        <v>6</v>
      </c>
      <c r="F27">
        <v>0</v>
      </c>
      <c r="G27">
        <v>1</v>
      </c>
    </row>
    <row r="28" spans="1:7" x14ac:dyDescent="0.3">
      <c r="A28" t="s">
        <v>987</v>
      </c>
      <c r="B28" t="s">
        <v>976</v>
      </c>
      <c r="C28">
        <v>27</v>
      </c>
      <c r="D28">
        <v>0</v>
      </c>
      <c r="E28">
        <v>0</v>
      </c>
      <c r="F28">
        <v>25</v>
      </c>
      <c r="G28">
        <v>2</v>
      </c>
    </row>
    <row r="29" spans="1:7" x14ac:dyDescent="0.3">
      <c r="A29" t="s">
        <v>988</v>
      </c>
      <c r="B29" t="s">
        <v>976</v>
      </c>
      <c r="C29">
        <v>2</v>
      </c>
      <c r="D29">
        <v>0</v>
      </c>
      <c r="E29">
        <v>2</v>
      </c>
      <c r="F29">
        <v>0</v>
      </c>
      <c r="G29">
        <v>0</v>
      </c>
    </row>
    <row r="31" spans="1:7" x14ac:dyDescent="0.3">
      <c r="A31" s="34" t="s">
        <v>989</v>
      </c>
    </row>
    <row r="32" spans="1:7" x14ac:dyDescent="0.3">
      <c r="A32" t="s">
        <v>990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/>
  </sheetViews>
  <sheetFormatPr defaultRowHeight="14.4" x14ac:dyDescent="0.3"/>
  <cols>
    <col min="1" max="1" width="50" customWidth="1"/>
    <col min="2" max="2" width="12" customWidth="1"/>
  </cols>
  <sheetData>
    <row r="1" spans="1:2" ht="18" x14ac:dyDescent="0.35">
      <c r="A1" s="33" t="s">
        <v>991</v>
      </c>
    </row>
    <row r="3" spans="1:2" x14ac:dyDescent="0.3">
      <c r="A3" s="34" t="s">
        <v>992</v>
      </c>
    </row>
    <row r="4" spans="1:2" x14ac:dyDescent="0.3">
      <c r="A4" t="s">
        <v>993</v>
      </c>
    </row>
    <row r="5" spans="1:2" x14ac:dyDescent="0.3">
      <c r="A5" t="s">
        <v>994</v>
      </c>
    </row>
    <row r="6" spans="1:2" x14ac:dyDescent="0.3">
      <c r="A6" t="s">
        <v>995</v>
      </c>
    </row>
    <row r="8" spans="1:2" x14ac:dyDescent="0.3">
      <c r="A8" s="34" t="s">
        <v>996</v>
      </c>
    </row>
    <row r="9" spans="1:2" x14ac:dyDescent="0.3">
      <c r="A9" t="s">
        <v>253</v>
      </c>
      <c r="B9">
        <v>2</v>
      </c>
    </row>
    <row r="10" spans="1:2" x14ac:dyDescent="0.3">
      <c r="A10" t="s">
        <v>997</v>
      </c>
      <c r="B10">
        <v>1</v>
      </c>
    </row>
    <row r="11" spans="1:2" x14ac:dyDescent="0.3">
      <c r="A11" t="s">
        <v>16</v>
      </c>
      <c r="B11">
        <v>2</v>
      </c>
    </row>
    <row r="12" spans="1:2" x14ac:dyDescent="0.3">
      <c r="A12" t="s">
        <v>76</v>
      </c>
      <c r="B12">
        <v>11</v>
      </c>
    </row>
    <row r="13" spans="1:2" x14ac:dyDescent="0.3">
      <c r="A13" t="s">
        <v>147</v>
      </c>
      <c r="B13">
        <v>1</v>
      </c>
    </row>
    <row r="14" spans="1:2" x14ac:dyDescent="0.3">
      <c r="A14" t="s">
        <v>284</v>
      </c>
      <c r="B14">
        <v>1</v>
      </c>
    </row>
    <row r="15" spans="1:2" x14ac:dyDescent="0.3">
      <c r="A15" t="s">
        <v>287</v>
      </c>
      <c r="B15">
        <v>2</v>
      </c>
    </row>
    <row r="16" spans="1:2" x14ac:dyDescent="0.3">
      <c r="A16" t="s">
        <v>65</v>
      </c>
      <c r="B16">
        <v>3</v>
      </c>
    </row>
    <row r="17" spans="1:2" x14ac:dyDescent="0.3">
      <c r="A17" t="s">
        <v>156</v>
      </c>
      <c r="B17">
        <v>45</v>
      </c>
    </row>
    <row r="18" spans="1:2" x14ac:dyDescent="0.3">
      <c r="A18" t="s">
        <v>20</v>
      </c>
      <c r="B18">
        <v>42</v>
      </c>
    </row>
    <row r="19" spans="1:2" x14ac:dyDescent="0.3">
      <c r="A19" t="s">
        <v>13</v>
      </c>
      <c r="B19">
        <v>1</v>
      </c>
    </row>
    <row r="20" spans="1:2" x14ac:dyDescent="0.3">
      <c r="A20" t="s">
        <v>998</v>
      </c>
      <c r="B20">
        <v>4</v>
      </c>
    </row>
    <row r="21" spans="1:2" x14ac:dyDescent="0.3">
      <c r="A21" t="s">
        <v>29</v>
      </c>
      <c r="B21">
        <v>14</v>
      </c>
    </row>
    <row r="22" spans="1:2" x14ac:dyDescent="0.3">
      <c r="A22" t="s">
        <v>36</v>
      </c>
      <c r="B22">
        <v>3</v>
      </c>
    </row>
    <row r="23" spans="1:2" x14ac:dyDescent="0.3">
      <c r="A23" t="s">
        <v>999</v>
      </c>
      <c r="B23">
        <v>3</v>
      </c>
    </row>
    <row r="24" spans="1:2" x14ac:dyDescent="0.3">
      <c r="A24" t="s">
        <v>47</v>
      </c>
      <c r="B24">
        <v>13</v>
      </c>
    </row>
    <row r="25" spans="1:2" x14ac:dyDescent="0.3">
      <c r="A25" t="s">
        <v>60</v>
      </c>
      <c r="B25">
        <v>2</v>
      </c>
    </row>
    <row r="26" spans="1:2" x14ac:dyDescent="0.3">
      <c r="A26" t="s">
        <v>247</v>
      </c>
      <c r="B26">
        <v>2</v>
      </c>
    </row>
    <row r="27" spans="1:2" x14ac:dyDescent="0.3">
      <c r="A27" t="s">
        <v>229</v>
      </c>
      <c r="B27">
        <v>19</v>
      </c>
    </row>
    <row r="28" spans="1:2" x14ac:dyDescent="0.3">
      <c r="A28" t="s">
        <v>216</v>
      </c>
      <c r="B2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BOQ</vt:lpstr>
      <vt:lpstr>Traceability</vt:lpstr>
      <vt:lpstr>Manual Review</vt:lpstr>
      <vt:lpstr>QA Summary</vt:lpstr>
      <vt:lpstr>Source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Shakhzod Khabibullaev</cp:lastModifiedBy>
  <dcterms:created xsi:type="dcterms:W3CDTF">2026-03-26T03:58:47Z</dcterms:created>
  <dcterms:modified xsi:type="dcterms:W3CDTF">2026-03-26T04:24:48Z</dcterms:modified>
</cp:coreProperties>
</file>