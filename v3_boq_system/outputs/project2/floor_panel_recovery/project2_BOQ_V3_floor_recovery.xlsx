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Traceability" sheetId="2" state="visible" r:id="rId2"/>
    <sheet name="Manual Review" sheetId="3" state="visible" r:id="rId3"/>
    <sheet name="QA Summary" sheetId="4" state="visible" r:id="rId4"/>
    <sheet name="Source Summary" sheetId="5" state="visible" r:id="rId5"/>
  </sheets>
  <definedNames>
    <definedName name="_xlnm._FilterDatabase" localSheetId="0" hidden="1">'BOQ'!$A$2:$I$183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2C3E50"/>
      <sz val="14"/>
    </font>
    <font>
      <b val="1"/>
      <color rgb="FFFFFFFF"/>
    </font>
    <font>
      <b val="1"/>
      <color rgb="FFFFFFFF"/>
      <sz val="10"/>
    </font>
    <font>
      <b val="1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003D5A80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3CD"/>
      </patternFill>
    </fill>
    <fill>
      <patternFill patternType="solid">
        <fgColor rgb="00D5F5E3"/>
      </patternFill>
    </fill>
    <fill>
      <patternFill patternType="solid">
        <fgColor rgb="00FFE6CC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EAF4FB"/>
      </patternFill>
    </fill>
    <fill>
      <patternFill patternType="solid">
        <fgColor rgb="00FEF9E7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medium">
        <color rgb="FF3D5A80"/>
      </left>
      <right style="medium">
        <color rgb="FF3D5A80"/>
      </right>
      <bottom style="medium">
        <color rgb="FF3D5A8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4" borderId="2" pivotButton="0" quotePrefix="0" xfId="0"/>
    <xf numFmtId="0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horizontal="right" vertical="center"/>
    </xf>
    <xf numFmtId="0" fontId="0" fillId="5" borderId="2" pivotButton="0" quotePrefix="0" xfId="0"/>
    <xf numFmtId="0" fontId="0" fillId="5" borderId="2" applyAlignment="1" pivotButton="0" quotePrefix="0" xfId="0">
      <alignment vertical="top" wrapText="1"/>
    </xf>
    <xf numFmtId="0" fontId="0" fillId="5" borderId="2" applyAlignment="1" pivotButton="0" quotePrefix="0" xfId="0">
      <alignment horizontal="right" vertical="center"/>
    </xf>
    <xf numFmtId="0" fontId="0" fillId="6" borderId="2" pivotButton="0" quotePrefix="0" xfId="0"/>
    <xf numFmtId="0" fontId="0" fillId="6" borderId="2" applyAlignment="1" pivotButton="0" quotePrefix="0" xfId="0">
      <alignment vertical="top" wrapText="1"/>
    </xf>
    <xf numFmtId="0" fontId="0" fillId="6" borderId="2" applyAlignment="1" pivotButton="0" quotePrefix="0" xfId="0">
      <alignment horizontal="right" vertical="center"/>
    </xf>
    <xf numFmtId="0" fontId="0" fillId="7" borderId="2" pivotButton="0" quotePrefix="0" xfId="0"/>
    <xf numFmtId="0" fontId="0" fillId="7" borderId="2" applyAlignment="1" pivotButton="0" quotePrefix="0" xfId="0">
      <alignment vertical="top" wrapText="1"/>
    </xf>
    <xf numFmtId="0" fontId="0" fillId="7" borderId="2" applyAlignment="1" pivotButton="0" quotePrefix="0" xfId="0">
      <alignment horizontal="right" vertical="center"/>
    </xf>
    <xf numFmtId="0" fontId="0" fillId="8" borderId="2" pivotButton="0" quotePrefix="0" xfId="0"/>
    <xf numFmtId="0" fontId="0" fillId="8" borderId="2" applyAlignment="1" pivotButton="0" quotePrefix="0" xfId="0">
      <alignment vertical="top" wrapText="1"/>
    </xf>
    <xf numFmtId="0" fontId="0" fillId="8" borderId="2" applyAlignment="1" pivotButton="0" quotePrefix="0" xfId="0">
      <alignment horizontal="right" vertical="center"/>
    </xf>
    <xf numFmtId="0" fontId="0" fillId="9" borderId="2" pivotButton="0" quotePrefix="0" xfId="0"/>
    <xf numFmtId="0" fontId="0" fillId="9" borderId="2" applyAlignment="1" pivotButton="0" quotePrefix="0" xfId="0">
      <alignment vertical="top" wrapText="1"/>
    </xf>
    <xf numFmtId="0" fontId="0" fillId="9" borderId="2" applyAlignment="1" pivotButton="0" quotePrefix="0" xfId="0">
      <alignment horizontal="right" vertical="center"/>
    </xf>
    <xf numFmtId="0" fontId="0" fillId="10" borderId="2" pivotButton="0" quotePrefix="0" xfId="0"/>
    <xf numFmtId="0" fontId="0" fillId="10" borderId="2" applyAlignment="1" pivotButton="0" quotePrefix="0" xfId="0">
      <alignment vertical="top" wrapText="1"/>
    </xf>
    <xf numFmtId="0" fontId="0" fillId="10" borderId="2" applyAlignment="1" pivotButton="0" quotePrefix="0" xfId="0">
      <alignment horizontal="right" vertical="center"/>
    </xf>
    <xf numFmtId="0" fontId="0" fillId="11" borderId="2" pivotButton="0" quotePrefix="0" xfId="0"/>
    <xf numFmtId="0" fontId="0" fillId="11" borderId="2" applyAlignment="1" pivotButton="0" quotePrefix="0" xfId="0">
      <alignment vertical="top" wrapText="1"/>
    </xf>
    <xf numFmtId="0" fontId="0" fillId="11" borderId="2" applyAlignment="1" pivotButton="0" quotePrefix="0" xfId="0">
      <alignment horizontal="right" vertical="center"/>
    </xf>
    <xf numFmtId="0" fontId="0" fillId="12" borderId="2" pivotButton="0" quotePrefix="0" xfId="0"/>
    <xf numFmtId="0" fontId="0" fillId="12" borderId="2" applyAlignment="1" pivotButton="0" quotePrefix="0" xfId="0">
      <alignment vertical="top" wrapText="1"/>
    </xf>
    <xf numFmtId="0" fontId="0" fillId="12" borderId="2" applyAlignment="1" pivotButton="0" quotePrefix="0" xfId="0">
      <alignment horizontal="right" vertical="center"/>
    </xf>
    <xf numFmtId="0" fontId="0" fillId="0" borderId="2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8" customWidth="1" min="3" max="3"/>
    <col width="14" customWidth="1" min="4" max="4"/>
    <col width="10" customWidth="1" min="5" max="5"/>
    <col width="12" customWidth="1" min="6" max="6"/>
    <col width="12" customWidth="1" min="7" max="7"/>
    <col width="20" customWidth="1" min="8" max="8"/>
    <col width="45" customWidth="1" min="9" max="9"/>
  </cols>
  <sheetData>
    <row r="1" ht="28" customHeight="1">
      <c r="A1" s="1" t="inlineStr">
        <is>
          <t>BILL OF QUANTITIES — project2</t>
        </is>
      </c>
    </row>
    <row r="2" ht="30" customHeight="1">
      <c r="A2" s="2" t="inlineStr">
        <is>
          <t>STOCK CODE</t>
        </is>
      </c>
      <c r="B2" s="2" t="inlineStr">
        <is>
          <t>MATERIALS DESCRIPTION</t>
        </is>
      </c>
      <c r="C2" s="2" t="inlineStr">
        <is>
          <t>QTY</t>
        </is>
      </c>
      <c r="D2" s="2" t="inlineStr"/>
      <c r="E2" s="2" t="inlineStr">
        <is>
          <t>RATE (PGK)</t>
        </is>
      </c>
      <c r="F2" s="2" t="inlineStr">
        <is>
          <t>AMOUNT (PGK)</t>
        </is>
      </c>
      <c r="G2" s="2" t="inlineStr">
        <is>
          <t>CONFIDENCE</t>
        </is>
      </c>
      <c r="H2" s="2" t="inlineStr">
        <is>
          <t>SOURCE</t>
        </is>
      </c>
      <c r="I2" s="2" t="inlineStr">
        <is>
          <t>NOTES / DRAWING REF</t>
        </is>
      </c>
    </row>
    <row r="3" ht="18" customHeight="1">
      <c r="A3" s="3" t="inlineStr">
        <is>
          <t>50106 - WPC (Timber)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/>
      <c r="B4" s="6" t="inlineStr">
        <is>
          <t>Timber Skirting | 25 x 75 x 2400mm Timber</t>
        </is>
      </c>
      <c r="C4" s="7" t="n">
        <v>88.3</v>
      </c>
      <c r="D4" s="5" t="inlineStr">
        <is>
          <t>calculated</t>
        </is>
      </c>
      <c r="E4" s="5" t="n"/>
      <c r="F4" s="5" t="n"/>
      <c r="G4" s="5" t="inlineStr">
        <is>
          <t>MEDIUM</t>
        </is>
      </c>
      <c r="H4" s="5" t="inlineStr">
        <is>
          <t>ext_walls</t>
        </is>
      </c>
      <c r="I4" s="6" t="inlineStr">
        <is>
          <t xml:space="preserve">Skirting = external wall interior face + both faces of internal partitions, minus door opening widths. Door gap deductions: ext_doors=0.920 m (DOOR_90×1); int_doors_×2f=8.000 m (DOOR_82×4, DOOR_72×1). Gross=97.2 m → net=88.3 m. </t>
        </is>
      </c>
    </row>
    <row r="5">
      <c r="A5" s="5" t="inlineStr"/>
      <c r="B5" s="6" t="inlineStr">
        <is>
          <t>Floor Finish | (type by room)</t>
        </is>
      </c>
      <c r="C5" s="7" t="n">
        <v>60.3</v>
      </c>
      <c r="D5" s="5" t="inlineStr">
        <is>
          <t>calculated</t>
        </is>
      </c>
      <c r="E5" s="5" t="n"/>
      <c r="F5" s="5" t="n"/>
      <c r="G5" s="5" t="inlineStr">
        <is>
          <t>MEDIUM</t>
        </is>
      </c>
      <c r="H5" s="5" t="inlineStr">
        <is>
          <t>config room_schedule</t>
        </is>
      </c>
      <c r="I5" s="6" t="inlineStr">
        <is>
          <t>Dry floor finish area from room schedule (5 rooms). Verandah (21.6 m²) excluded — has separate decking row. Verify room areas from architectural drawings.</t>
        </is>
      </c>
    </row>
    <row r="6">
      <c r="A6" s="5" t="inlineStr"/>
      <c r="B6" s="6" t="inlineStr">
        <is>
          <t>Floor Finish | (type by room)</t>
        </is>
      </c>
      <c r="C6" s="7" t="n">
        <v>4.5</v>
      </c>
      <c r="D6" s="5" t="inlineStr">
        <is>
          <t>calculated</t>
        </is>
      </c>
      <c r="E6" s="5" t="n"/>
      <c r="F6" s="5" t="n"/>
      <c r="G6" s="5" t="inlineStr">
        <is>
          <t>MEDIUM</t>
        </is>
      </c>
      <c r="H6" s="5" t="inlineStr">
        <is>
          <t>config room_schedule</t>
        </is>
      </c>
      <c r="I6" s="6" t="inlineStr">
        <is>
          <t>Wet floor finish (ceramic tile / non-slip) for wet areas: Toilet (4.50 m²). Verify with architect.</t>
        </is>
      </c>
    </row>
    <row r="7">
      <c r="A7" s="5" t="inlineStr"/>
      <c r="B7" s="6" t="inlineStr">
        <is>
          <t>Paint | External, two coats</t>
        </is>
      </c>
      <c r="C7" s="7" t="n">
        <v>92.16</v>
      </c>
      <c r="D7" s="5" t="inlineStr">
        <is>
          <t>calculated</t>
        </is>
      </c>
      <c r="E7" s="5" t="n"/>
      <c r="F7" s="5" t="n"/>
      <c r="G7" s="5" t="inlineStr">
        <is>
          <t>MEDIUM</t>
        </is>
      </c>
      <c r="H7" s="5" t="inlineStr">
        <is>
          <t>dxf_geometry</t>
        </is>
      </c>
      <c r="I7" s="6" t="inlineStr">
        <is>
          <t>Gross area; no deduction for openings.</t>
        </is>
      </c>
    </row>
    <row r="8">
      <c r="A8" s="5" t="inlineStr"/>
      <c r="B8" s="6" t="inlineStr">
        <is>
          <t>Paint | Internal, two coats</t>
        </is>
      </c>
      <c r="C8" s="7" t="n">
        <v>205.92</v>
      </c>
      <c r="D8" s="5" t="inlineStr">
        <is>
          <t>calculated</t>
        </is>
      </c>
      <c r="E8" s="5" t="n"/>
      <c r="F8" s="5" t="n"/>
      <c r="G8" s="5" t="inlineStr">
        <is>
          <t>MEDIUM</t>
        </is>
      </c>
      <c r="H8" s="5" t="inlineStr">
        <is>
          <t>ceiling_area=64.80 m²; int_wal</t>
        </is>
      </c>
      <c r="I8" s="6" t="inlineStr">
        <is>
          <t xml:space="preserve">Both faces of internal partitions included. </t>
        </is>
      </c>
    </row>
    <row r="9" ht="18" customHeight="1">
      <c r="A9" s="3" t="inlineStr">
        <is>
          <t>50107 - Structural &amp; Base Steel &amp; Footings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8" t="inlineStr"/>
      <c r="B10" s="9" t="inlineStr">
        <is>
          <t>FrameCAD Roof Panel | LGS C89, 0.75BMT, G550, Z275</t>
        </is>
      </c>
      <c r="C10" s="10" t="n">
        <v>481.74</v>
      </c>
      <c r="D10" s="8" t="inlineStr">
        <is>
          <t>measured</t>
        </is>
      </c>
      <c r="E10" s="8" t="n"/>
      <c r="F10" s="8" t="n"/>
      <c r="G10" s="8" t="inlineStr">
        <is>
          <t>HIGH</t>
        </is>
      </c>
      <c r="H10" s="8" t="inlineStr">
        <is>
          <t>framecad_bom</t>
        </is>
      </c>
      <c r="I10" s="9" t="inlineStr"/>
    </row>
    <row r="11">
      <c r="A11" s="8" t="inlineStr"/>
      <c r="B11" s="9" t="inlineStr">
        <is>
          <t>FrameCAD Roof Truss | LGS C89, 0.75BMT, G550, Z275</t>
        </is>
      </c>
      <c r="C11" s="10" t="n">
        <v>1634.29</v>
      </c>
      <c r="D11" s="8" t="inlineStr">
        <is>
          <t>measured</t>
        </is>
      </c>
      <c r="E11" s="8" t="n"/>
      <c r="F11" s="8" t="n"/>
      <c r="G11" s="8" t="inlineStr">
        <is>
          <t>HIGH</t>
        </is>
      </c>
      <c r="H11" s="8" t="inlineStr">
        <is>
          <t>framecad_bom</t>
        </is>
      </c>
      <c r="I11" s="9" t="inlineStr">
        <is>
          <t>QA NOTE: FrameCAD BOM 'Roof Trusses' tab total includes all roof structural members (truss chords, webs, purlin/rafter runs). This is the correct procurement quantity. An assembled-frame-count comparison will show a lower lm figure — the difference is expected and not a data error.</t>
        </is>
      </c>
    </row>
    <row r="12">
      <c r="A12" s="8" t="inlineStr"/>
      <c r="B12" s="9" t="inlineStr">
        <is>
          <t>FrameCAD Wall Frame | LGS C89, all wall members</t>
        </is>
      </c>
      <c r="C12" s="10" t="n">
        <v>2250.69</v>
      </c>
      <c r="D12" s="8" t="inlineStr">
        <is>
          <t>measured</t>
        </is>
      </c>
      <c r="E12" s="8" t="n"/>
      <c r="F12" s="8" t="n"/>
      <c r="G12" s="8" t="inlineStr">
        <is>
          <t>HIGH</t>
        </is>
      </c>
      <c r="H12" s="8" t="inlineStr">
        <is>
          <t>framecad_bom</t>
        </is>
      </c>
      <c r="I12" s="9" t="inlineStr"/>
    </row>
    <row r="13">
      <c r="A13" s="8" t="inlineStr"/>
      <c r="B13" s="9" t="inlineStr">
        <is>
          <t>FrameCAD Lintel | LGS, lintel members</t>
        </is>
      </c>
      <c r="C13" s="10" t="n">
        <v>3.57</v>
      </c>
      <c r="D13" s="8" t="inlineStr">
        <is>
          <t>measured</t>
        </is>
      </c>
      <c r="E13" s="8" t="n"/>
      <c r="F13" s="8" t="n"/>
      <c r="G13" s="8" t="inlineStr">
        <is>
          <t>HIGH</t>
        </is>
      </c>
      <c r="H13" s="8" t="inlineStr">
        <is>
          <t>framecad_bom</t>
        </is>
      </c>
      <c r="I13" s="9" t="inlineStr"/>
    </row>
    <row r="14">
      <c r="A14" s="8" t="inlineStr"/>
      <c r="B14" s="9" t="inlineStr">
        <is>
          <t>FrameCAD Wall Strap | Diagonal strap brace</t>
        </is>
      </c>
      <c r="C14" s="10" t="n">
        <v>49.73</v>
      </c>
      <c r="D14" s="8" t="inlineStr">
        <is>
          <t>measured</t>
        </is>
      </c>
      <c r="E14" s="8" t="n"/>
      <c r="F14" s="8" t="n"/>
      <c r="G14" s="8" t="inlineStr">
        <is>
          <t>HIGH</t>
        </is>
      </c>
      <c r="H14" s="8" t="inlineStr">
        <is>
          <t>framecad_bom</t>
        </is>
      </c>
      <c r="I14" s="9" t="inlineStr"/>
    </row>
    <row r="15">
      <c r="A15" s="8" t="inlineStr"/>
      <c r="B15" s="9" t="inlineStr">
        <is>
          <t>External Works | Verandah Frame</t>
        </is>
      </c>
      <c r="C15" s="10" t="n">
        <v>69.91</v>
      </c>
      <c r="D15" s="8" t="inlineStr">
        <is>
          <t>measured</t>
        </is>
      </c>
      <c r="E15" s="8" t="n"/>
      <c r="F15" s="8" t="n"/>
      <c r="G15" s="8" t="inlineStr">
        <is>
          <t>HIGH</t>
        </is>
      </c>
      <c r="H15" s="8" t="inlineStr">
        <is>
          <t>ifc_model</t>
        </is>
      </c>
      <c r="I15" s="9" t="inlineStr"/>
    </row>
    <row r="16">
      <c r="A16" s="8" t="inlineStr"/>
      <c r="B16" s="9" t="inlineStr">
        <is>
          <t>Steel Post | 75 x 4mm SHS, Q345, HDG600</t>
        </is>
      </c>
      <c r="C16" s="10" t="n">
        <v>96.69</v>
      </c>
      <c r="D16" s="8" t="inlineStr">
        <is>
          <t>measured</t>
        </is>
      </c>
      <c r="E16" s="8" t="n"/>
      <c r="F16" s="8" t="n"/>
      <c r="G16" s="8" t="inlineStr">
        <is>
          <t>HIGH</t>
        </is>
      </c>
      <c r="H16" s="8" t="inlineStr">
        <is>
          <t>ifc_model</t>
        </is>
      </c>
      <c r="I16" s="9" t="inlineStr"/>
    </row>
    <row r="17">
      <c r="A17" s="8" t="inlineStr"/>
      <c r="B17" s="9" t="inlineStr">
        <is>
          <t>Roof Batten | 41mm Top Hat, G550, Z275</t>
        </is>
      </c>
      <c r="C17" s="10" t="n">
        <v>1385.3</v>
      </c>
      <c r="D17" s="8" t="inlineStr">
        <is>
          <t>measured</t>
        </is>
      </c>
      <c r="E17" s="8" t="n"/>
      <c r="F17" s="8" t="n"/>
      <c r="G17" s="8" t="inlineStr">
        <is>
          <t>HIGH</t>
        </is>
      </c>
      <c r="H17" s="8" t="inlineStr">
        <is>
          <t>framecad_bom</t>
        </is>
      </c>
      <c r="I17" s="9" t="inlineStr">
        <is>
          <t>BOM total 266 pieces (1385.3 lm) — all batten zones. Grade split: ≥35mm (roof top-hat) = 85 nr / 510.0 lm; &lt;35mm (ceiling/wall) = 181 nr / 875.3 lm. Zone separation inferred from BOM grade — see per-family rows below.</t>
        </is>
      </c>
    </row>
    <row r="18">
      <c r="A18" s="8" t="inlineStr"/>
      <c r="B18" s="9" t="inlineStr">
        <is>
          <t>Ceiling Batten | G22</t>
        </is>
      </c>
      <c r="C18" s="10" t="n">
        <v>176</v>
      </c>
      <c r="D18" s="8" t="inlineStr">
        <is>
          <t>measured</t>
        </is>
      </c>
      <c r="E18" s="8" t="n"/>
      <c r="F18" s="8" t="n"/>
      <c r="G18" s="8" t="inlineStr">
        <is>
          <t>LOW</t>
        </is>
      </c>
      <c r="H18" s="8" t="inlineStr">
        <is>
          <t>framecad_bom</t>
        </is>
      </c>
      <c r="I18" s="9" t="inlineStr">
        <is>
          <t>Ceiling/wall batten (grade 22mm &lt;35mm threshold). 4800mm stock length. Total: 844.8 lm. Zone inferred from grade — confirm against FrameCAD batten schedule.</t>
        </is>
      </c>
    </row>
    <row r="19">
      <c r="A19" s="8" t="inlineStr"/>
      <c r="B19" s="9" t="inlineStr">
        <is>
          <t>Ceiling Batten | G22</t>
        </is>
      </c>
      <c r="C19" s="10" t="n">
        <v>5</v>
      </c>
      <c r="D19" s="8" t="inlineStr">
        <is>
          <t>measured</t>
        </is>
      </c>
      <c r="E19" s="8" t="n"/>
      <c r="F19" s="8" t="n"/>
      <c r="G19" s="8" t="inlineStr">
        <is>
          <t>LOW</t>
        </is>
      </c>
      <c r="H19" s="8" t="inlineStr">
        <is>
          <t>framecad_bom</t>
        </is>
      </c>
      <c r="I19" s="9" t="inlineStr">
        <is>
          <t>Ceiling/wall batten (grade 22mm &lt;35mm threshold). 6100mm stock length. Total: 30.5 lm. Zone inferred from grade — confirm against FrameCAD batten schedule.</t>
        </is>
      </c>
    </row>
    <row r="20">
      <c r="A20" s="8" t="inlineStr"/>
      <c r="B20" s="9" t="inlineStr">
        <is>
          <t>Roof Batten | 41mm Top Hat, G550, Z275</t>
        </is>
      </c>
      <c r="C20" s="10" t="n">
        <v>85</v>
      </c>
      <c r="D20" s="8" t="inlineStr">
        <is>
          <t>measured</t>
        </is>
      </c>
      <c r="E20" s="8" t="n"/>
      <c r="F20" s="8" t="n"/>
      <c r="G20" s="8" t="inlineStr">
        <is>
          <t>MEDIUM</t>
        </is>
      </c>
      <c r="H20" s="8" t="inlineStr">
        <is>
          <t>framecad_bom</t>
        </is>
      </c>
      <c r="I20" s="9" t="inlineStr">
        <is>
          <t>Roof top-hat batten (grade 40mm ≥35mm threshold). 6000mm stock length. Total: 510.0 lm. Zone inferred from grade — confirm against FrameCAD batten schedule.</t>
        </is>
      </c>
    </row>
    <row r="21">
      <c r="A21" s="11" t="inlineStr"/>
      <c r="B21" s="12" t="inlineStr">
        <is>
          <t>Floor Cassette Panel — 3000mm × 2394mm</t>
        </is>
      </c>
      <c r="C21" s="13" t="n">
        <v>9</v>
      </c>
      <c r="D21" s="11" t="inlineStr">
        <is>
          <t>inferred</t>
        </is>
      </c>
      <c r="E21" s="11" t="n"/>
      <c r="F21" s="11" t="n"/>
      <c r="G21" s="11" t="inlineStr">
        <is>
          <t>MEDIUM</t>
        </is>
      </c>
      <c r="H21" s="11" t="inlineStr">
        <is>
          <t>framecad_dwg</t>
        </is>
      </c>
      <c r="I21" s="12" t="inlineStr">
        <is>
          <t>MANUAL REVIEW REQUIRED. Panel count derived from floor area / per-panel area (7.182m²). Panel width=3000mm (from E1/E2 edge beam length, HIGH confidence). Panel depth=2394mm (from J1/S1/S2 span length, HIGH confidence). Count=9 is MEDIUM confidence — verify from FrameCAD floor panel layout.</t>
        </is>
      </c>
    </row>
    <row r="22">
      <c r="A22" s="11" t="inlineStr"/>
      <c r="B22" s="12" t="inlineStr">
        <is>
          <t>Floor Joist (J1) — 150S41-095-500 × 2394mm</t>
        </is>
      </c>
      <c r="C22" s="13" t="n">
        <v>63</v>
      </c>
      <c r="D22" s="11" t="inlineStr">
        <is>
          <t>inferred</t>
        </is>
      </c>
      <c r="E22" s="11" t="n"/>
      <c r="F22" s="11" t="n"/>
      <c r="G22" s="11" t="inlineStr">
        <is>
          <t>MEDIUM</t>
        </is>
      </c>
      <c r="H22" s="11" t="inlineStr">
        <is>
          <t>framecad_dwg</t>
        </is>
      </c>
      <c r="I22" s="12" t="inlineStr">
        <is>
          <t>MANUAL REVIEW REQUIRED. Profile: 150S41-095-500, length: 2394mm. 7 joists per panel (HIGH confidence — DWG Onpage FLayout schedule). Total 63 nr = 7 × 9 panels. Total lm: 150.82 lm (63 × 2.394m).</t>
        </is>
      </c>
    </row>
    <row r="23">
      <c r="A23" s="8" t="inlineStr"/>
      <c r="B23" s="9" t="inlineStr">
        <is>
          <t>Floor Joist (J1) — 150S41-095-500 (total lm)</t>
        </is>
      </c>
      <c r="C23" s="10" t="n">
        <v>150.82</v>
      </c>
      <c r="D23" s="8" t="inlineStr">
        <is>
          <t>inferred</t>
        </is>
      </c>
      <c r="E23" s="8" t="n"/>
      <c r="F23" s="8" t="n"/>
      <c r="G23" s="8" t="inlineStr">
        <is>
          <t>MEDIUM</t>
        </is>
      </c>
      <c r="H23" s="8" t="inlineStr">
        <is>
          <t>framecad_dwg</t>
        </is>
      </c>
      <c r="I23" s="9" t="inlineStr">
        <is>
          <t>Total joist lm from DWG cassette schedule.</t>
        </is>
      </c>
    </row>
    <row r="24">
      <c r="A24" s="11" t="inlineStr"/>
      <c r="B24" s="12" t="inlineStr">
        <is>
          <t>Floor Edge Beam (E1+E2) — 150P41-115-500 × 3000mm</t>
        </is>
      </c>
      <c r="C24" s="13" t="n">
        <v>18</v>
      </c>
      <c r="D24" s="11" t="inlineStr">
        <is>
          <t>inferred</t>
        </is>
      </c>
      <c r="E24" s="11" t="n"/>
      <c r="F24" s="11" t="n"/>
      <c r="G24" s="11" t="inlineStr">
        <is>
          <t>MEDIUM</t>
        </is>
      </c>
      <c r="H24" s="11" t="inlineStr">
        <is>
          <t>framecad_dwg</t>
        </is>
      </c>
      <c r="I24" s="12" t="inlineStr">
        <is>
          <t>MANUAL REVIEW REQUIRED. Profile: 150P41-115-500, length: 3000mm. 2 edge beams per panel (E1×1 + E2×1). Total 18 nr. Total lm: 54.00 lm.</t>
        </is>
      </c>
    </row>
    <row r="25">
      <c r="A25" s="11" t="inlineStr"/>
      <c r="B25" s="12" t="inlineStr">
        <is>
          <t>Floor Stringer (S1+S2) — 150S41-115-500 × 2394mm</t>
        </is>
      </c>
      <c r="C25" s="13" t="n">
        <v>18</v>
      </c>
      <c r="D25" s="11" t="inlineStr">
        <is>
          <t>inferred</t>
        </is>
      </c>
      <c r="E25" s="11" t="n"/>
      <c r="F25" s="11" t="n"/>
      <c r="G25" s="11" t="inlineStr">
        <is>
          <t>MEDIUM</t>
        </is>
      </c>
      <c r="H25" s="11" t="inlineStr">
        <is>
          <t>framecad_dwg</t>
        </is>
      </c>
      <c r="I25" s="12" t="inlineStr">
        <is>
          <t>MANUAL REVIEW REQUIRED. Profile: 150S41-115-500, length: 2394mm. 2 stringers per panel (S1×1 + S2×1). Total 18 nr. Total lm: 43.09 lm.</t>
        </is>
      </c>
    </row>
    <row r="26">
      <c r="A26" s="8" t="inlineStr"/>
      <c r="B26" s="9" t="inlineStr">
        <is>
          <t>FC Sheet Floor | 18mm thk, 1200 x 2400 Sheet</t>
        </is>
      </c>
      <c r="C26" s="10" t="n">
        <v>24</v>
      </c>
      <c r="D26" s="8" t="inlineStr">
        <is>
          <t>calculated</t>
        </is>
      </c>
      <c r="E26" s="8" t="n"/>
      <c r="F26" s="8" t="n"/>
      <c r="G26" s="8" t="inlineStr">
        <is>
          <t>MEDIUM</t>
        </is>
      </c>
      <c r="H26" s="8" t="inlineStr">
        <is>
          <t>framecad_dwg+dxf_geometry</t>
        </is>
      </c>
      <c r="I26" s="9" t="inlineStr">
        <is>
          <t>Sheet size assumed same as ceiling FC sheet (1.2×2.4). Adjust if different.</t>
        </is>
      </c>
    </row>
    <row r="27">
      <c r="A27" s="8" t="inlineStr"/>
      <c r="B27" s="9" t="inlineStr">
        <is>
          <t>Fixing | FC Floor Sheet Screw</t>
        </is>
      </c>
      <c r="C27" s="10" t="n">
        <v>2</v>
      </c>
      <c r="D27" s="8" t="inlineStr">
        <is>
          <t>calculated</t>
        </is>
      </c>
      <c r="E27" s="8" t="n"/>
      <c r="F27" s="8" t="n"/>
      <c r="G27" s="8" t="inlineStr">
        <is>
          <t>LOW</t>
        </is>
      </c>
      <c r="H27" s="8" t="inlineStr">
        <is>
          <t>framecad_dwg+dxf_geometry</t>
        </is>
      </c>
      <c r="I27" s="9" t="inlineStr">
        <is>
          <t>16 fixings per sheet; 200 per box.</t>
        </is>
      </c>
    </row>
    <row r="28">
      <c r="A28" s="8" t="inlineStr"/>
      <c r="B28" s="9" t="inlineStr">
        <is>
          <t>Substructure | Strip Footing, External Perimeter</t>
        </is>
      </c>
      <c r="C28" s="10" t="n">
        <v>38.4</v>
      </c>
      <c r="D28" s="8" t="inlineStr">
        <is>
          <t>calculated</t>
        </is>
      </c>
      <c r="E28" s="8" t="n"/>
      <c r="F28" s="8" t="n"/>
      <c r="G28" s="8" t="inlineStr">
        <is>
          <t>MEDIUM</t>
        </is>
      </c>
      <c r="H28" s="8" t="inlineStr">
        <is>
          <t>derived_steel_floor</t>
        </is>
      </c>
      <c r="I28" s="9" t="inlineStr">
        <is>
          <t>Strip footing assumed for steel floor frame bearing lines. Assumed 500 mm deep × 400 mm wide. Verify type and dimensions from structural drawings.</t>
        </is>
      </c>
    </row>
    <row r="29">
      <c r="A29" s="11" t="inlineStr"/>
      <c r="B29" s="12" t="inlineStr">
        <is>
          <t>Substructure | Strip Footing Concrete Volume</t>
        </is>
      </c>
      <c r="C29" s="13" t="n">
        <v>7.68</v>
      </c>
      <c r="D29" s="11" t="inlineStr">
        <is>
          <t>calculated</t>
        </is>
      </c>
      <c r="E29" s="11" t="n"/>
      <c r="F29" s="11" t="n"/>
      <c r="G29" s="11" t="inlineStr">
        <is>
          <t>LOW</t>
        </is>
      </c>
      <c r="H29" s="11" t="inlineStr">
        <is>
          <t>derived_steel_floor</t>
        </is>
      </c>
      <c r="I29" s="12" t="inlineStr">
        <is>
          <t>MANUAL REVIEW REQUIRED. Strip footing assumed for steel floor frame bearing lines. Assumed 500 mm deep × 400 mm wide. Verify type and dimensions from structural drawings.</t>
        </is>
      </c>
    </row>
    <row r="30">
      <c r="A30" s="8" t="inlineStr"/>
      <c r="B30" s="9" t="inlineStr">
        <is>
          <t>Substructure | Strip Footing Formwork</t>
        </is>
      </c>
      <c r="C30" s="10" t="n">
        <v>38.4</v>
      </c>
      <c r="D30" s="8" t="inlineStr">
        <is>
          <t>calculated</t>
        </is>
      </c>
      <c r="E30" s="8" t="n"/>
      <c r="F30" s="8" t="n"/>
      <c r="G30" s="8" t="inlineStr">
        <is>
          <t>MEDIUM</t>
        </is>
      </c>
      <c r="H30" s="8" t="inlineStr">
        <is>
          <t>derived_steel_floor</t>
        </is>
      </c>
      <c r="I30" s="9" t="inlineStr"/>
    </row>
    <row r="31">
      <c r="A31" s="11" t="inlineStr"/>
      <c r="B31" s="12" t="inlineStr">
        <is>
          <t>Substructure | Bulk Earthworks / Level (provisional)</t>
        </is>
      </c>
      <c r="C31" s="13" t="n">
        <v>0</v>
      </c>
      <c r="D31" s="11" t="inlineStr">
        <is>
          <t>placeholder</t>
        </is>
      </c>
      <c r="E31" s="11" t="n"/>
      <c r="F31" s="11" t="n"/>
      <c r="G31" s="11" t="inlineStr">
        <is>
          <t>LOW</t>
        </is>
      </c>
      <c r="H31" s="11" t="inlineStr">
        <is>
          <t>no site survey in sources</t>
        </is>
      </c>
      <c r="I31" s="12" t="inlineStr">
        <is>
          <t>MANUAL REVIEW REQUIRED. Excavation volume cannot be derived from architectural documents.</t>
        </is>
      </c>
    </row>
    <row r="32">
      <c r="A32" s="8" t="inlineStr"/>
      <c r="B32" s="9" t="inlineStr">
        <is>
          <t>Substructure | Strip Footing, Internal Bearing</t>
        </is>
      </c>
      <c r="C32" s="10" t="n">
        <v>29.4</v>
      </c>
      <c r="D32" s="8" t="inlineStr">
        <is>
          <t>calculated</t>
        </is>
      </c>
      <c r="E32" s="8" t="n"/>
      <c r="F32" s="8" t="n"/>
      <c r="G32" s="8" t="inlineStr">
        <is>
          <t>MEDIUM</t>
        </is>
      </c>
      <c r="H32" s="8" t="inlineStr">
        <is>
          <t>dxf_geometry</t>
        </is>
      </c>
      <c r="I32" s="9" t="inlineStr">
        <is>
          <t>Internal bearing lines assumed at each internal wall run. Total: 29.4 lm. Verify from structural drawings — actual bearing lines may differ from partition walls.</t>
        </is>
      </c>
    </row>
    <row r="33">
      <c r="A33" s="11" t="inlineStr"/>
      <c r="B33" s="12" t="inlineStr">
        <is>
          <t>Substructure | Strip Footing, Internal Bearing</t>
        </is>
      </c>
      <c r="C33" s="13" t="n">
        <v>5.88</v>
      </c>
      <c r="D33" s="11" t="inlineStr">
        <is>
          <t>calculated</t>
        </is>
      </c>
      <c r="E33" s="11" t="n"/>
      <c r="F33" s="11" t="n"/>
      <c r="G33" s="11" t="inlineStr">
        <is>
          <t>LOW</t>
        </is>
      </c>
      <c r="H33" s="11" t="inlineStr">
        <is>
          <t>derived</t>
        </is>
      </c>
      <c r="I33" s="12" t="inlineStr">
        <is>
          <t>MANUAL REVIEW REQUIRED. Assumed 500 mm deep × 400 mm wide. Verify.</t>
        </is>
      </c>
    </row>
    <row r="34">
      <c r="A34" s="8" t="inlineStr"/>
      <c r="B34" s="9" t="inlineStr">
        <is>
          <t>Substructure | Pad Footing, Concrete</t>
        </is>
      </c>
      <c r="C34" s="10" t="n">
        <v>15</v>
      </c>
      <c r="D34" s="8" t="inlineStr">
        <is>
          <t>measured</t>
        </is>
      </c>
      <c r="E34" s="8" t="n"/>
      <c r="F34" s="8" t="n"/>
      <c r="G34" s="8" t="inlineStr">
        <is>
          <t>MEDIUM</t>
        </is>
      </c>
      <c r="H34" s="8" t="inlineStr">
        <is>
          <t>dxf_geometry</t>
        </is>
      </c>
      <c r="I34" s="9" t="inlineStr"/>
    </row>
    <row r="35">
      <c r="A35" s="11" t="inlineStr"/>
      <c r="B35" s="12" t="inlineStr">
        <is>
          <t>Substructure | Pad Footing Concrete Volume</t>
        </is>
      </c>
      <c r="C35" s="13" t="n">
        <v>5.145</v>
      </c>
      <c r="D35" s="11" t="inlineStr">
        <is>
          <t>calculated</t>
        </is>
      </c>
      <c r="E35" s="11" t="n"/>
      <c r="F35" s="11" t="n"/>
      <c r="G35" s="11" t="inlineStr">
        <is>
          <t>LOW</t>
        </is>
      </c>
      <c r="H35" s="11" t="inlineStr">
        <is>
          <t>derived</t>
        </is>
      </c>
      <c r="I35" s="12" t="inlineStr">
        <is>
          <t>MANUAL REVIEW REQUIRED. Assumes 700×700×700 mm pads. Verify from structural engineer.</t>
        </is>
      </c>
    </row>
    <row r="36" ht="18" customHeight="1">
      <c r="A36" s="3" t="inlineStr">
        <is>
          <t>50111 - Fixings &amp; Connectors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11" t="inlineStr"/>
      <c r="B37" s="12" t="inlineStr">
        <is>
          <t>Fixing | 12G-14x20mm HEX Head, DP</t>
        </is>
      </c>
      <c r="C37" s="13" t="n">
        <v>19</v>
      </c>
      <c r="D37" s="11" t="inlineStr">
        <is>
          <t>calculated</t>
        </is>
      </c>
      <c r="E37" s="11" t="n"/>
      <c r="F37" s="11" t="n"/>
      <c r="G37" s="11" t="inlineStr">
        <is>
          <t>MEDIUM</t>
        </is>
      </c>
      <c r="H37" s="11" t="inlineStr">
        <is>
          <t>framecad_bom</t>
        </is>
      </c>
      <c r="I37" s="12" t="inlineStr">
        <is>
          <t>MANUAL REVIEW REQUIRED. Stud-to-track connections: 2300.4lm × 4.0 per m = ~9202 screws, 19 boxes (500/box). Density: 2 screws per stud end (top+bottom). Verify with FrameCAD connection schedule.</t>
        </is>
      </c>
    </row>
    <row r="38">
      <c r="A38" s="11" t="inlineStr"/>
      <c r="B38" s="12" t="inlineStr">
        <is>
          <t>Fixing | 10G-24x40mm Countersunk, DP</t>
        </is>
      </c>
      <c r="C38" s="13" t="n">
        <v>3</v>
      </c>
      <c r="D38" s="11" t="inlineStr">
        <is>
          <t>calculated</t>
        </is>
      </c>
      <c r="E38" s="11" t="n"/>
      <c r="F38" s="11" t="n"/>
      <c r="G38" s="11" t="inlineStr">
        <is>
          <t>MEDIUM</t>
        </is>
      </c>
      <c r="H38" s="11" t="inlineStr">
        <is>
          <t>framecad_bom</t>
        </is>
      </c>
      <c r="I38" s="12" t="inlineStr">
        <is>
          <t>MANUAL REVIEW REQUIRED. Purlin-to-rafter / roof panel connections: 481.7lm × 3.0 per m = ~1445 screws, 3 boxes. Verify with FrameCAD connection report.</t>
        </is>
      </c>
    </row>
    <row r="39">
      <c r="A39" s="11" t="inlineStr"/>
      <c r="B39" s="12" t="inlineStr">
        <is>
          <t>Fixing | 10G-14x16mm Wafer Head, DP</t>
        </is>
      </c>
      <c r="C39" s="13" t="n">
        <v>7</v>
      </c>
      <c r="D39" s="11" t="inlineStr">
        <is>
          <t>calculated</t>
        </is>
      </c>
      <c r="E39" s="11" t="n"/>
      <c r="F39" s="11" t="n"/>
      <c r="G39" s="11" t="inlineStr">
        <is>
          <t>LOW</t>
        </is>
      </c>
      <c r="H39" s="11" t="inlineStr">
        <is>
          <t>framecad_bom</t>
        </is>
      </c>
      <c r="I39" s="12" t="inlineStr">
        <is>
          <t>MANUAL REVIEW REQUIRED. Batten-to-purlin connections: 1385.3lm total batten × 2.5 per m = ~3463. Includes roof, wall, and ceiling batten zones from FrameCAD BOM. Verify zone scope before ordering.</t>
        </is>
      </c>
    </row>
    <row r="40">
      <c r="A40" s="11" t="inlineStr"/>
      <c r="B40" s="12" t="inlineStr">
        <is>
          <t>Fixing | M12 x 75mm Sleeve Anchor (Pad Footings)</t>
        </is>
      </c>
      <c r="C40" s="13" t="n">
        <v>60</v>
      </c>
      <c r="D40" s="11" t="inlineStr">
        <is>
          <t>calculated</t>
        </is>
      </c>
      <c r="E40" s="11" t="n"/>
      <c r="F40" s="11" t="n"/>
      <c r="G40" s="11" t="inlineStr">
        <is>
          <t>MEDIUM</t>
        </is>
      </c>
      <c r="H40" s="11" t="inlineStr">
        <is>
          <t>dxf_geometry</t>
        </is>
      </c>
      <c r="I40" s="12" t="inlineStr">
        <is>
          <t>MANUAL REVIEW REQUIRED. 15 pad footings × 4 M12×75 anchors each (4-bolt base plate). Verify anchor embedment depth and edge distance from structural engineer.</t>
        </is>
      </c>
    </row>
    <row r="41">
      <c r="A41" s="11" t="inlineStr"/>
      <c r="B41" s="12" t="inlineStr">
        <is>
          <t>PH Bracket | Post Holder (PHA/PHB/PHD)</t>
        </is>
      </c>
      <c r="C41" s="13" t="n">
        <v>28</v>
      </c>
      <c r="D41" s="11" t="inlineStr">
        <is>
          <t>calculated</t>
        </is>
      </c>
      <c r="E41" s="11" t="n"/>
      <c r="F41" s="11" t="n"/>
      <c r="G41" s="11" t="inlineStr">
        <is>
          <t>LOW</t>
        </is>
      </c>
      <c r="H41" s="11" t="inlineStr">
        <is>
          <t>ifc_model</t>
        </is>
      </c>
      <c r="I41" s="12" t="inlineStr">
        <is>
          <t>MANUAL REVIEW REQUIRED. Post holder brackets at column bases. Count estimated from IFC steel post lm. Verify bracket type (PHA/PHB/PHD) against post size and load from structural drawings.</t>
        </is>
      </c>
    </row>
    <row r="42">
      <c r="A42" s="11" t="inlineStr"/>
      <c r="B42" s="12" t="inlineStr">
        <is>
          <t>Accessories | Triple Grip Connector (Pryda)</t>
        </is>
      </c>
      <c r="C42" s="13" t="n">
        <v>36</v>
      </c>
      <c r="D42" s="11" t="inlineStr">
        <is>
          <t>calculated</t>
        </is>
      </c>
      <c r="E42" s="11" t="n"/>
      <c r="F42" s="11" t="n"/>
      <c r="G42" s="11" t="inlineStr">
        <is>
          <t>LOW</t>
        </is>
      </c>
      <c r="H42" s="11" t="inlineStr">
        <is>
          <t>dxf_geometry</t>
        </is>
      </c>
      <c r="I42" s="12" t="inlineStr">
        <is>
          <t>MANUAL REVIEW REQUIRED. Roof-to-wall-plate cyclonic uplift connections at 1.2m centres along 42.4m eave line = 36 nr. Verify spacing and type from structural engineer (cyclone region requirement).</t>
        </is>
      </c>
    </row>
    <row r="43">
      <c r="A43" s="11" t="inlineStr"/>
      <c r="B43" s="12" t="inlineStr">
        <is>
          <t>Accessories | Hold Down Washer, Cyclonic</t>
        </is>
      </c>
      <c r="C43" s="13" t="n">
        <v>60</v>
      </c>
      <c r="D43" s="11" t="inlineStr">
        <is>
          <t>calculated</t>
        </is>
      </c>
      <c r="E43" s="11" t="n"/>
      <c r="F43" s="11" t="n"/>
      <c r="G43" s="11" t="inlineStr">
        <is>
          <t>LOW</t>
        </is>
      </c>
      <c r="H43" s="11" t="inlineStr">
        <is>
          <t>dxf_geometry</t>
        </is>
      </c>
      <c r="I43" s="12" t="inlineStr">
        <is>
          <t>MANUAL REVIEW REQUIRED. Hold-down washers at post base connections. 15 pads × 4 = 60 nr. Verify washer specification (size, grade) from structural drawings.</t>
        </is>
      </c>
    </row>
    <row r="44">
      <c r="A44" s="11" t="inlineStr"/>
      <c r="B44" s="12" t="inlineStr">
        <is>
          <t>Accessories | Fix Plate Connector, G350</t>
        </is>
      </c>
      <c r="C44" s="13" t="n">
        <v>18</v>
      </c>
      <c r="D44" s="11" t="inlineStr">
        <is>
          <t>calculated</t>
        </is>
      </c>
      <c r="E44" s="11" t="n"/>
      <c r="F44" s="11" t="n"/>
      <c r="G44" s="11" t="inlineStr">
        <is>
          <t>LOW</t>
        </is>
      </c>
      <c r="H44" s="11" t="inlineStr">
        <is>
          <t>framecad_bom</t>
        </is>
      </c>
      <c r="I44" s="12" t="inlineStr">
        <is>
          <t>MANUAL REVIEW REQUIRED. Fix plates at strap bracing termination points: 49.7lm × 0.35 = 18 nr. Verify against FrameCAD connection schedule.</t>
        </is>
      </c>
    </row>
    <row r="45">
      <c r="A45" s="11" t="inlineStr"/>
      <c r="B45" s="12" t="inlineStr">
        <is>
          <t>Accessories | Strap Brace Tensioner</t>
        </is>
      </c>
      <c r="C45" s="13" t="n">
        <v>34</v>
      </c>
      <c r="D45" s="11" t="inlineStr">
        <is>
          <t>calculated</t>
        </is>
      </c>
      <c r="E45" s="11" t="n"/>
      <c r="F45" s="11" t="n"/>
      <c r="G45" s="11" t="inlineStr">
        <is>
          <t>LOW</t>
        </is>
      </c>
      <c r="H45" s="11" t="inlineStr">
        <is>
          <t>framecad_bom</t>
        </is>
      </c>
      <c r="I45" s="12" t="inlineStr">
        <is>
          <t>MANUAL REVIEW REQUIRED. Strap termination anchors: 49.7lm ÷ 3m avg run = 17 runs × 2 ends. Verify strap count and anchor type from FrameCAD connection schedule.</t>
        </is>
      </c>
    </row>
    <row r="46">
      <c r="A46" s="11" t="inlineStr"/>
      <c r="B46" s="12" t="inlineStr">
        <is>
          <t>Accessories | Grommet 35mm Dia</t>
        </is>
      </c>
      <c r="C46" s="13" t="n">
        <v>45</v>
      </c>
      <c r="D46" s="11" t="inlineStr">
        <is>
          <t>inferred</t>
        </is>
      </c>
      <c r="E46" s="11" t="n"/>
      <c r="F46" s="11" t="n"/>
      <c r="G46" s="11" t="inlineStr">
        <is>
          <t>LOW</t>
        </is>
      </c>
      <c r="H46" s="11" t="inlineStr">
        <is>
          <t>dxf_geometry</t>
        </is>
      </c>
      <c r="I46" s="12" t="inlineStr">
        <is>
          <t>MANUAL REVIEW REQUIRED. Cable/conduit grommets at LGS stud penetrations. 29.4m internal wall × 1.5 per m = 45 nr. Quantity depends on electrical/hydraulic layout. Verify from services drawings.</t>
        </is>
      </c>
    </row>
    <row r="47">
      <c r="A47" s="11" t="inlineStr"/>
      <c r="B47" s="12" t="inlineStr">
        <is>
          <t>Fixing | Structural Fixings Remainder (PLACEHOLDER)</t>
        </is>
      </c>
      <c r="C47" s="13" t="n">
        <v>0</v>
      </c>
      <c r="D47" s="11" t="inlineStr">
        <is>
          <t>placeholder</t>
        </is>
      </c>
      <c r="E47" s="11" t="n"/>
      <c r="F47" s="11" t="n"/>
      <c r="G47" s="11" t="inlineStr">
        <is>
          <t>LOW</t>
        </is>
      </c>
      <c r="H47" s="11" t="inlineStr">
        <is>
          <t>no fixing schedule in source d</t>
        </is>
      </c>
      <c r="I47" s="12" t="inlineStr">
        <is>
          <t>MANUAL REVIEW REQUIRED. PLACEHOLDER for connection schedule items not derivable from member lm alone. Typical items: M10/M12/M16 hex bolts (hold-down posts), angle brackets (knee bracing, ridge connections), spring washers, nyloc nuts. Obtain FrameCAD connection report for full schedule. Reference BOQ includes 256+ individual fixing line items — this row represents residual scope.</t>
        </is>
      </c>
    </row>
    <row r="48" ht="18" customHeight="1">
      <c r="A48" s="3" t="inlineStr">
        <is>
          <t>50112 - Roof &amp; Roof Plumbing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14" t="inlineStr"/>
      <c r="B49" s="15" t="inlineStr">
        <is>
          <t>Insulation | Sisalation / Sarking</t>
        </is>
      </c>
      <c r="C49" s="16" t="n">
        <v>2</v>
      </c>
      <c r="D49" s="14" t="inlineStr">
        <is>
          <t>calculated</t>
        </is>
      </c>
      <c r="E49" s="14" t="n"/>
      <c r="F49" s="14" t="n"/>
      <c r="G49" s="14" t="inlineStr">
        <is>
          <t>HIGH</t>
        </is>
      </c>
      <c r="H49" s="14" t="inlineStr">
        <is>
          <t>dxf_geometry</t>
        </is>
      </c>
      <c r="I49" s="15" t="inlineStr"/>
    </row>
    <row r="50">
      <c r="A50" s="14" t="inlineStr"/>
      <c r="B50" s="15" t="inlineStr">
        <is>
          <t>Fixing | Roof Tek Screw, Hex Head, DP</t>
        </is>
      </c>
      <c r="C50" s="16" t="n">
        <v>11</v>
      </c>
      <c r="D50" s="14" t="inlineStr">
        <is>
          <t>calculated</t>
        </is>
      </c>
      <c r="E50" s="14" t="n"/>
      <c r="F50" s="14" t="n"/>
      <c r="G50" s="14" t="inlineStr">
        <is>
          <t>MEDIUM</t>
        </is>
      </c>
      <c r="H50" s="14" t="inlineStr">
        <is>
          <t>dxf_geometry</t>
        </is>
      </c>
      <c r="I50" s="15" t="inlineStr">
        <is>
          <t>1 box per 10 m² (approx 250 screws/box at 25 screws/m²)</t>
        </is>
      </c>
    </row>
    <row r="51">
      <c r="A51" s="11" t="inlineStr"/>
      <c r="B51" s="12" t="inlineStr">
        <is>
          <t>Roof Cladding | Custom Orb Corrugated CGI Sheet</t>
        </is>
      </c>
      <c r="C51" s="13" t="n">
        <v>49</v>
      </c>
      <c r="D51" s="11" t="inlineStr">
        <is>
          <t>calculated</t>
        </is>
      </c>
      <c r="E51" s="11" t="n"/>
      <c r="F51" s="11" t="n"/>
      <c r="G51" s="11" t="inlineStr">
        <is>
          <t>MEDIUM</t>
        </is>
      </c>
      <c r="H51" s="11" t="inlineStr">
        <is>
          <t>dxf_geometry</t>
        </is>
      </c>
      <c r="I51" s="12" t="inlineStr">
        <is>
          <t>MANUAL REVIEW REQUIRED. run=2.51m (area/eaves) + 150mm lap → select 3.0m stock Verify sheet length and profile from spec.</t>
        </is>
      </c>
    </row>
    <row r="52">
      <c r="A52" s="14" t="inlineStr"/>
      <c r="B52" s="15" t="inlineStr">
        <is>
          <t>Ridge Cap | Galvanised, lm</t>
        </is>
      </c>
      <c r="C52" s="16" t="n">
        <v>10.6</v>
      </c>
      <c r="D52" s="14" t="inlineStr">
        <is>
          <t>calculated</t>
        </is>
      </c>
      <c r="E52" s="14" t="n"/>
      <c r="F52" s="14" t="n"/>
      <c r="G52" s="14" t="inlineStr">
        <is>
          <t>MEDIUM</t>
        </is>
      </c>
      <c r="H52" s="14" t="inlineStr">
        <is>
          <t>dxf_geometry</t>
        </is>
      </c>
      <c r="I52" s="15" t="inlineStr"/>
    </row>
    <row r="53">
      <c r="A53" s="14" t="inlineStr"/>
      <c r="B53" s="15" t="inlineStr">
        <is>
          <t>Fixing | Ridge Cap Hex Head Screw</t>
        </is>
      </c>
      <c r="C53" s="16" t="n">
        <v>36</v>
      </c>
      <c r="D53" s="14" t="inlineStr">
        <is>
          <t>calculated</t>
        </is>
      </c>
      <c r="E53" s="14" t="n"/>
      <c r="F53" s="14" t="n"/>
      <c r="G53" s="14" t="inlineStr">
        <is>
          <t>MEDIUM</t>
        </is>
      </c>
      <c r="H53" s="14" t="inlineStr">
        <is>
          <t>dxf_geometry</t>
        </is>
      </c>
      <c r="I53" s="15" t="inlineStr">
        <is>
          <t>1 screw per 300 mm</t>
        </is>
      </c>
    </row>
    <row r="54">
      <c r="A54" s="14" t="inlineStr"/>
      <c r="B54" s="15" t="inlineStr">
        <is>
          <t>Ridge End Cap | Galvanised</t>
        </is>
      </c>
      <c r="C54" s="16" t="n">
        <v>2</v>
      </c>
      <c r="D54" s="14" t="inlineStr">
        <is>
          <t>calculated</t>
        </is>
      </c>
      <c r="E54" s="14" t="n"/>
      <c r="F54" s="14" t="n"/>
      <c r="G54" s="14" t="inlineStr">
        <is>
          <t>MEDIUM</t>
        </is>
      </c>
      <c r="H54" s="14" t="inlineStr">
        <is>
          <t>dxf_geometry</t>
        </is>
      </c>
      <c r="I54" s="15" t="inlineStr">
        <is>
          <t>2 end caps per ridge run (one each end)</t>
        </is>
      </c>
    </row>
    <row r="55">
      <c r="A55" s="14" t="inlineStr"/>
      <c r="B55" s="15" t="inlineStr">
        <is>
          <t>Fascia Board | Galvanised, lm</t>
        </is>
      </c>
      <c r="C55" s="16" t="n">
        <v>42.4</v>
      </c>
      <c r="D55" s="14" t="inlineStr">
        <is>
          <t>calculated</t>
        </is>
      </c>
      <c r="E55" s="14" t="n"/>
      <c r="F55" s="14" t="n"/>
      <c r="G55" s="14" t="inlineStr">
        <is>
          <t>MEDIUM</t>
        </is>
      </c>
      <c r="H55" s="14" t="inlineStr">
        <is>
          <t>dxf_geometry</t>
        </is>
      </c>
      <c r="I55" s="15" t="inlineStr"/>
    </row>
    <row r="56">
      <c r="A56" s="14" t="inlineStr"/>
      <c r="B56" s="15" t="inlineStr">
        <is>
          <t>Fascia | Clips</t>
        </is>
      </c>
      <c r="C56" s="16" t="n">
        <v>71</v>
      </c>
      <c r="D56" s="14" t="inlineStr">
        <is>
          <t>calculated</t>
        </is>
      </c>
      <c r="E56" s="14" t="n"/>
      <c r="F56" s="14" t="n"/>
      <c r="G56" s="14" t="inlineStr">
        <is>
          <t>MEDIUM</t>
        </is>
      </c>
      <c r="H56" s="14" t="inlineStr">
        <is>
          <t>dxf_geometry</t>
        </is>
      </c>
      <c r="I56" s="15" t="inlineStr">
        <is>
          <t>1 clip per 600 mm</t>
        </is>
      </c>
    </row>
    <row r="57">
      <c r="A57" s="14" t="inlineStr"/>
      <c r="B57" s="15" t="inlineStr">
        <is>
          <t>Accessories | Birdproof Foam Strip</t>
        </is>
      </c>
      <c r="C57" s="16" t="n">
        <v>42.4</v>
      </c>
      <c r="D57" s="14" t="inlineStr">
        <is>
          <t>calculated</t>
        </is>
      </c>
      <c r="E57" s="14" t="n"/>
      <c r="F57" s="14" t="n"/>
      <c r="G57" s="14" t="inlineStr">
        <is>
          <t>MEDIUM</t>
        </is>
      </c>
      <c r="H57" s="14" t="inlineStr">
        <is>
          <t>dxf_geometry</t>
        </is>
      </c>
      <c r="I57" s="15" t="inlineStr">
        <is>
          <t>runs full eaves length</t>
        </is>
      </c>
    </row>
    <row r="58">
      <c r="A58" s="14" t="inlineStr"/>
      <c r="B58" s="15" t="inlineStr">
        <is>
          <t>SL-14 | PVC Box Gutter</t>
        </is>
      </c>
      <c r="C58" s="16" t="n">
        <v>42.4</v>
      </c>
      <c r="D58" s="14" t="inlineStr">
        <is>
          <t>calculated</t>
        </is>
      </c>
      <c r="E58" s="14" t="n"/>
      <c r="F58" s="14" t="n"/>
      <c r="G58" s="14" t="inlineStr">
        <is>
          <t>MEDIUM</t>
        </is>
      </c>
      <c r="H58" s="14" t="inlineStr">
        <is>
          <t>dxf_geometry</t>
        </is>
      </c>
      <c r="I58" s="15" t="inlineStr"/>
    </row>
    <row r="59">
      <c r="A59" s="14" t="inlineStr"/>
      <c r="B59" s="15" t="inlineStr">
        <is>
          <t>SL-14 | PVC Gutter Joiner</t>
        </is>
      </c>
      <c r="C59" s="16" t="n">
        <v>3</v>
      </c>
      <c r="D59" s="14" t="inlineStr">
        <is>
          <t>calculated</t>
        </is>
      </c>
      <c r="E59" s="14" t="n"/>
      <c r="F59" s="14" t="n"/>
      <c r="G59" s="14" t="inlineStr">
        <is>
          <t>MEDIUM</t>
        </is>
      </c>
      <c r="H59" s="14" t="inlineStr">
        <is>
          <t>dxf_geometry</t>
        </is>
      </c>
      <c r="I59" s="15" t="inlineStr">
        <is>
          <t>PVC box gutter 6 m stock: joiners = total_lengths − estimated_run_count (≈eaves/10 m per run)</t>
        </is>
      </c>
    </row>
    <row r="60">
      <c r="A60" s="14" t="inlineStr"/>
      <c r="B60" s="15" t="inlineStr">
        <is>
          <t>SL-14 | PVC Gutter Stop End</t>
        </is>
      </c>
      <c r="C60" s="16" t="n">
        <v>6</v>
      </c>
      <c r="D60" s="14" t="inlineStr">
        <is>
          <t>calculated</t>
        </is>
      </c>
      <c r="E60" s="14" t="n"/>
      <c r="F60" s="14" t="n"/>
      <c r="G60" s="14" t="inlineStr">
        <is>
          <t>MEDIUM</t>
        </is>
      </c>
      <c r="H60" s="14" t="inlineStr">
        <is>
          <t>dxf_geometry</t>
        </is>
      </c>
      <c r="I60" s="15" t="inlineStr">
        <is>
          <t>2 per run; add 2 per extra run &gt; 20 m</t>
        </is>
      </c>
    </row>
    <row r="61">
      <c r="A61" s="11" t="inlineStr"/>
      <c r="B61" s="12" t="inlineStr">
        <is>
          <t>Barge Cap | Galvanised, lm</t>
        </is>
      </c>
      <c r="C61" s="13" t="n">
        <v>8.5</v>
      </c>
      <c r="D61" s="11" t="inlineStr">
        <is>
          <t>calculated</t>
        </is>
      </c>
      <c r="E61" s="11" t="n"/>
      <c r="F61" s="11" t="n"/>
      <c r="G61" s="11" t="inlineStr">
        <is>
          <t>LOW</t>
        </is>
      </c>
      <c r="H61" s="11" t="inlineStr">
        <is>
          <t>dxf_geometry</t>
        </is>
      </c>
      <c r="I61" s="12" t="inlineStr">
        <is>
          <t>MANUAL REVIEW REQUIRED.</t>
        </is>
      </c>
    </row>
    <row r="62">
      <c r="A62" s="11" t="inlineStr"/>
      <c r="B62" s="12" t="inlineStr">
        <is>
          <t>Barge End Cap | Galvanised</t>
        </is>
      </c>
      <c r="C62" s="13" t="n">
        <v>2</v>
      </c>
      <c r="D62" s="11" t="inlineStr">
        <is>
          <t>calculated</t>
        </is>
      </c>
      <c r="E62" s="11" t="n"/>
      <c r="F62" s="11" t="n"/>
      <c r="G62" s="11" t="inlineStr">
        <is>
          <t>LOW</t>
        </is>
      </c>
      <c r="H62" s="11" t="inlineStr">
        <is>
          <t>dxf_geometry</t>
        </is>
      </c>
      <c r="I62" s="12" t="inlineStr">
        <is>
          <t>MANUAL REVIEW REQUIRED. 2 end caps per barge run (ridge peak and eaves)</t>
        </is>
      </c>
    </row>
    <row r="63">
      <c r="A63" s="14" t="inlineStr"/>
      <c r="B63" s="15" t="inlineStr">
        <is>
          <t>SL-14 | PVC Downpipe, 68mm</t>
        </is>
      </c>
      <c r="C63" s="16" t="n">
        <v>6</v>
      </c>
      <c r="D63" s="14" t="inlineStr">
        <is>
          <t>calculated</t>
        </is>
      </c>
      <c r="E63" s="14" t="n"/>
      <c r="F63" s="14" t="n"/>
      <c r="G63" s="14" t="inlineStr">
        <is>
          <t>MEDIUM</t>
        </is>
      </c>
      <c r="H63" s="14" t="inlineStr">
        <is>
          <t>dxf_geometry</t>
        </is>
      </c>
      <c r="I63" s="15" t="inlineStr"/>
    </row>
    <row r="64">
      <c r="A64" s="14" t="inlineStr"/>
      <c r="B64" s="15" t="inlineStr">
        <is>
          <t>SL-14 | PVC Gutter Drop Outlet</t>
        </is>
      </c>
      <c r="C64" s="16" t="n">
        <v>6</v>
      </c>
      <c r="D64" s="14" t="inlineStr">
        <is>
          <t>calculated</t>
        </is>
      </c>
      <c r="E64" s="14" t="n"/>
      <c r="F64" s="14" t="n"/>
      <c r="G64" s="14" t="inlineStr">
        <is>
          <t>MEDIUM</t>
        </is>
      </c>
      <c r="H64" s="14" t="inlineStr">
        <is>
          <t>dxf_geometry</t>
        </is>
      </c>
      <c r="I64" s="15" t="inlineStr"/>
    </row>
    <row r="65">
      <c r="A65" s="14" t="inlineStr"/>
      <c r="B65" s="15" t="inlineStr">
        <is>
          <t>SL-14 | PVC Downpipe Elbow, 90°</t>
        </is>
      </c>
      <c r="C65" s="16" t="n">
        <v>12</v>
      </c>
      <c r="D65" s="14" t="inlineStr">
        <is>
          <t>calculated</t>
        </is>
      </c>
      <c r="E65" s="14" t="n"/>
      <c r="F65" s="14" t="n"/>
      <c r="G65" s="14" t="inlineStr">
        <is>
          <t>MEDIUM</t>
        </is>
      </c>
      <c r="H65" s="14" t="inlineStr">
        <is>
          <t>dxf_geometry</t>
        </is>
      </c>
      <c r="I65" s="15" t="inlineStr">
        <is>
          <t>top + bottom elbow per downpipe</t>
        </is>
      </c>
    </row>
    <row r="66">
      <c r="A66" s="14" t="inlineStr"/>
      <c r="B66" s="15" t="inlineStr">
        <is>
          <t>SL-14 | PVC Downpipe Clip</t>
        </is>
      </c>
      <c r="C66" s="16" t="n">
        <v>18</v>
      </c>
      <c r="D66" s="14" t="inlineStr">
        <is>
          <t>calculated</t>
        </is>
      </c>
      <c r="E66" s="14" t="n"/>
      <c r="F66" s="14" t="n"/>
      <c r="G66" s="14" t="inlineStr">
        <is>
          <t>MEDIUM</t>
        </is>
      </c>
      <c r="H66" s="14" t="inlineStr">
        <is>
          <t>dxf_geometry</t>
        </is>
      </c>
      <c r="I66" s="15" t="inlineStr">
        <is>
          <t>approx 3 clips per 3 m drop</t>
        </is>
      </c>
    </row>
    <row r="67" ht="18" customHeight="1">
      <c r="A67" s="3" t="inlineStr">
        <is>
          <t>50113 - External Cladding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17" t="inlineStr"/>
      <c r="B68" s="18" t="inlineStr">
        <is>
          <t>External Cladding | FC Weatherboard</t>
        </is>
      </c>
      <c r="C68" s="19" t="n">
        <v>87.14</v>
      </c>
      <c r="D68" s="17" t="inlineStr">
        <is>
          <t>calculated</t>
        </is>
      </c>
      <c r="E68" s="17" t="n"/>
      <c r="F68" s="17" t="n"/>
      <c r="G68" s="17" t="inlineStr">
        <is>
          <t>HIGH</t>
        </is>
      </c>
      <c r="H68" s="17" t="inlineStr">
        <is>
          <t>dxf_geometry</t>
        </is>
      </c>
      <c r="I68" s="18" t="inlineStr">
        <is>
          <t>Gross 92.16 m² − openings 5.02 m² = 87.14 m²</t>
        </is>
      </c>
    </row>
    <row r="69">
      <c r="A69" s="11" t="inlineStr"/>
      <c r="B69" s="12" t="inlineStr">
        <is>
          <t>External Cladding | FC Weatherboard</t>
        </is>
      </c>
      <c r="C69" s="13" t="n">
        <v>126</v>
      </c>
      <c r="D69" s="11" t="inlineStr">
        <is>
          <t>calculated</t>
        </is>
      </c>
      <c r="E69" s="11" t="n"/>
      <c r="F69" s="11" t="n"/>
      <c r="G69" s="11" t="inlineStr">
        <is>
          <t>MEDIUM</t>
        </is>
      </c>
      <c r="H69" s="11" t="inlineStr">
        <is>
          <t>dxf_geometry</t>
        </is>
      </c>
      <c r="I69" s="12" t="inlineStr">
        <is>
          <t>MANUAL REVIEW REQUIRED. Weatherboard: 200mm exposure, 4200mm stock length. Count includes 5% waste.  Verify board profile and lap from spec.</t>
        </is>
      </c>
    </row>
    <row r="70">
      <c r="A70" s="17" t="inlineStr"/>
      <c r="B70" s="18" t="inlineStr">
        <is>
          <t>External Cladding | FC Weatherboard</t>
        </is>
      </c>
      <c r="C70" s="19" t="n">
        <v>72</v>
      </c>
      <c r="D70" s="17" t="inlineStr">
        <is>
          <t>calculated</t>
        </is>
      </c>
      <c r="E70" s="17" t="n"/>
      <c r="F70" s="17" t="n"/>
      <c r="G70" s="17" t="inlineStr">
        <is>
          <t>MEDIUM</t>
        </is>
      </c>
      <c r="H70" s="17" t="inlineStr">
        <is>
          <t>dxf_geometry</t>
        </is>
      </c>
      <c r="I70" s="18" t="inlineStr">
        <is>
          <t>H-joiners per façade face (joiners at butt-joins only, not corners). Verify count from cladding layout.</t>
        </is>
      </c>
    </row>
    <row r="71">
      <c r="A71" s="17" t="inlineStr"/>
      <c r="B71" s="18" t="inlineStr">
        <is>
          <t>External Cladding | Corner Flashing, Galvanised</t>
        </is>
      </c>
      <c r="C71" s="19" t="n">
        <v>4</v>
      </c>
      <c r="D71" s="17" t="inlineStr">
        <is>
          <t>inferred</t>
        </is>
      </c>
      <c r="E71" s="17" t="n"/>
      <c r="F71" s="17" t="n"/>
      <c r="G71" s="17" t="inlineStr">
        <is>
          <t>MEDIUM</t>
        </is>
      </c>
      <c r="H71" s="17" t="inlineStr">
        <is>
          <t>dxf_geometry</t>
        </is>
      </c>
      <c r="I71" s="18" t="inlineStr">
        <is>
          <t>Corner count from building geometry (L=12.0m × W=7.2m rectangular = 4 corners). Verify against floor plan.</t>
        </is>
      </c>
    </row>
    <row r="72">
      <c r="A72" s="17" t="inlineStr"/>
      <c r="B72" s="18" t="inlineStr">
        <is>
          <t>External Cladding | Corner Trim / Angle Bead</t>
        </is>
      </c>
      <c r="C72" s="19" t="n">
        <v>9.6</v>
      </c>
      <c r="D72" s="17" t="inlineStr">
        <is>
          <t>calculated</t>
        </is>
      </c>
      <c r="E72" s="17" t="n"/>
      <c r="F72" s="17" t="n"/>
      <c r="G72" s="17" t="inlineStr">
        <is>
          <t>MEDIUM</t>
        </is>
      </c>
      <c r="H72" s="17" t="inlineStr">
        <is>
          <t>derived</t>
        </is>
      </c>
      <c r="I72" s="18" t="inlineStr">
        <is>
          <t>One trim per corner, full wall height. Verify profile and spec.</t>
        </is>
      </c>
    </row>
    <row r="73">
      <c r="A73" s="17" t="inlineStr"/>
      <c r="B73" s="18" t="inlineStr">
        <is>
          <t>External Cladding | FC Weatherboard</t>
        </is>
      </c>
      <c r="C73" s="19" t="n">
        <v>768</v>
      </c>
      <c r="D73" s="17" t="inlineStr">
        <is>
          <t>calculated</t>
        </is>
      </c>
      <c r="E73" s="17" t="n"/>
      <c r="F73" s="17" t="n"/>
      <c r="G73" s="17" t="inlineStr">
        <is>
          <t>MEDIUM</t>
        </is>
      </c>
      <c r="H73" s="17" t="inlineStr">
        <is>
          <t>dxf_geometry</t>
        </is>
      </c>
      <c r="I73" s="18" t="inlineStr">
        <is>
          <t>Stud clips at 600mm centres. Verify clip type from manufacturer spec.</t>
        </is>
      </c>
    </row>
    <row r="74">
      <c r="A74" s="17" t="inlineStr"/>
      <c r="B74" s="18" t="inlineStr">
        <is>
          <t>Fixing | Stainless Steel Screw (Cladding)</t>
        </is>
      </c>
      <c r="C74" s="19" t="n">
        <v>1536</v>
      </c>
      <c r="D74" s="17" t="inlineStr">
        <is>
          <t>calculated</t>
        </is>
      </c>
      <c r="E74" s="17" t="n"/>
      <c r="F74" s="17" t="n"/>
      <c r="G74" s="17" t="inlineStr">
        <is>
          <t>LOW</t>
        </is>
      </c>
      <c r="H74" s="17" t="inlineStr">
        <is>
          <t>derived from clip count</t>
        </is>
      </c>
      <c r="I74" s="18" t="inlineStr">
        <is>
          <t>2 × stainless screws per fixing clip. Verify size and type from spec.</t>
        </is>
      </c>
    </row>
    <row r="75">
      <c r="A75" s="17" t="inlineStr"/>
      <c r="B75" s="18" t="inlineStr">
        <is>
          <t>Accessories | Building Wrap / Sarking</t>
        </is>
      </c>
      <c r="C75" s="19" t="n">
        <v>96.77</v>
      </c>
      <c r="D75" s="17" t="inlineStr">
        <is>
          <t>calculated</t>
        </is>
      </c>
      <c r="E75" s="17" t="n"/>
      <c r="F75" s="17" t="n"/>
      <c r="G75" s="17" t="inlineStr">
        <is>
          <t>MEDIUM</t>
        </is>
      </c>
      <c r="H75" s="17" t="inlineStr">
        <is>
          <t>dxf_geometry</t>
        </is>
      </c>
      <c r="I75" s="18" t="inlineStr">
        <is>
          <t>Includes 5% for laps. Gross area — no deduction for openings in sarking schedule.</t>
        </is>
      </c>
    </row>
    <row r="76">
      <c r="A76" s="17" t="inlineStr"/>
      <c r="B76" s="18" t="inlineStr">
        <is>
          <t>External Works | Verandah Decking</t>
        </is>
      </c>
      <c r="C76" s="19" t="n">
        <v>21.6</v>
      </c>
      <c r="D76" s="17" t="inlineStr">
        <is>
          <t>measured</t>
        </is>
      </c>
      <c r="E76" s="17" t="n"/>
      <c r="F76" s="17" t="n"/>
      <c r="G76" s="17" t="inlineStr">
        <is>
          <t>HIGH</t>
        </is>
      </c>
      <c r="H76" s="17" t="inlineStr">
        <is>
          <t>dxf_geometry</t>
        </is>
      </c>
      <c r="I76" s="18" t="inlineStr"/>
    </row>
    <row r="77">
      <c r="A77" s="11" t="inlineStr"/>
      <c r="B77" s="12" t="inlineStr">
        <is>
          <t>Substructure | Site Preparation (Provisional)</t>
        </is>
      </c>
      <c r="C77" s="13" t="n">
        <v>0</v>
      </c>
      <c r="D77" s="11" t="inlineStr">
        <is>
          <t>placeholder</t>
        </is>
      </c>
      <c r="E77" s="11" t="n"/>
      <c r="F77" s="11" t="n"/>
      <c r="G77" s="11" t="inlineStr">
        <is>
          <t>LOW</t>
        </is>
      </c>
      <c r="H77" s="11" t="inlineStr">
        <is>
          <t>no site survey in sources</t>
        </is>
      </c>
      <c r="I77" s="12" t="inlineStr">
        <is>
          <t>MANUAL REVIEW REQUIRED. Site preparation scope cannot be derived from drawings. Confirm with engineer.</t>
        </is>
      </c>
    </row>
    <row r="78" ht="18" customHeight="1">
      <c r="A78" s="3" t="inlineStr">
        <is>
          <t>50114 - Openings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20" t="inlineStr"/>
      <c r="B79" s="21" t="inlineStr">
        <is>
          <t>Door | 920mm Wide (DOOR_90)</t>
        </is>
      </c>
      <c r="C79" s="22" t="n">
        <v>1</v>
      </c>
      <c r="D79" s="20" t="inlineStr">
        <is>
          <t>measured</t>
        </is>
      </c>
      <c r="E79" s="20" t="n"/>
      <c r="F79" s="20" t="n"/>
      <c r="G79" s="20" t="inlineStr">
        <is>
          <t>HIGH</t>
        </is>
      </c>
      <c r="H79" s="20" t="inlineStr">
        <is>
          <t>dxf_blocks</t>
        </is>
      </c>
      <c r="I79" s="21" t="inlineStr">
        <is>
          <t>swing=hinged</t>
        </is>
      </c>
    </row>
    <row r="80">
      <c r="A80" s="20" t="inlineStr"/>
      <c r="B80" s="21" t="inlineStr">
        <is>
          <t>Door | 820mm Wide (DOOR_82)</t>
        </is>
      </c>
      <c r="C80" s="22" t="n">
        <v>4</v>
      </c>
      <c r="D80" s="20" t="inlineStr">
        <is>
          <t>measured</t>
        </is>
      </c>
      <c r="E80" s="20" t="n"/>
      <c r="F80" s="20" t="n"/>
      <c r="G80" s="20" t="inlineStr">
        <is>
          <t>HIGH</t>
        </is>
      </c>
      <c r="H80" s="20" t="inlineStr">
        <is>
          <t>dxf_blocks</t>
        </is>
      </c>
      <c r="I80" s="21" t="inlineStr">
        <is>
          <t>swing=hinged</t>
        </is>
      </c>
    </row>
    <row r="81">
      <c r="A81" s="20" t="inlineStr"/>
      <c r="B81" s="21" t="inlineStr">
        <is>
          <t>Door | 720mm Wide (DOOR_72)</t>
        </is>
      </c>
      <c r="C81" s="22" t="n">
        <v>1</v>
      </c>
      <c r="D81" s="20" t="inlineStr">
        <is>
          <t>measured</t>
        </is>
      </c>
      <c r="E81" s="20" t="n"/>
      <c r="F81" s="20" t="n"/>
      <c r="G81" s="20" t="inlineStr">
        <is>
          <t>HIGH</t>
        </is>
      </c>
      <c r="H81" s="20" t="inlineStr">
        <is>
          <t>dxf_blocks</t>
        </is>
      </c>
      <c r="I81" s="21" t="inlineStr">
        <is>
          <t>swing=hinged</t>
        </is>
      </c>
    </row>
    <row r="82">
      <c r="A82" s="20" t="inlineStr"/>
      <c r="B82" s="21" t="inlineStr">
        <is>
          <t>Flashing | Door Head, Galvanised</t>
        </is>
      </c>
      <c r="C82" s="22" t="n">
        <v>5.52</v>
      </c>
      <c r="D82" s="20" t="inlineStr">
        <is>
          <t>calculated</t>
        </is>
      </c>
      <c r="E82" s="20" t="n"/>
      <c r="F82" s="20" t="n"/>
      <c r="G82" s="20" t="inlineStr">
        <is>
          <t>MEDIUM</t>
        </is>
      </c>
      <c r="H82" s="20" t="inlineStr">
        <is>
          <t>dxf_blocks</t>
        </is>
      </c>
      <c r="I82" s="21" t="inlineStr">
        <is>
          <t>Head flashing extends 50 mm beyond door frame each side.</t>
        </is>
      </c>
    </row>
    <row r="83">
      <c r="A83" s="20" t="inlineStr"/>
      <c r="B83" s="21" t="inlineStr">
        <is>
          <t>Flashing | Door Sill, Galvanised</t>
        </is>
      </c>
      <c r="C83" s="22" t="n">
        <v>5.52</v>
      </c>
      <c r="D83" s="20" t="inlineStr">
        <is>
          <t>calculated</t>
        </is>
      </c>
      <c r="E83" s="20" t="n"/>
      <c r="F83" s="20" t="n"/>
      <c r="G83" s="20" t="inlineStr">
        <is>
          <t>MEDIUM</t>
        </is>
      </c>
      <c r="H83" s="20" t="inlineStr">
        <is>
          <t>dxf_blocks</t>
        </is>
      </c>
      <c r="I83" s="21" t="inlineStr">
        <is>
          <t>Sill flashing for all doors. Remove from internal doors not requiring sill.</t>
        </is>
      </c>
    </row>
    <row r="84">
      <c r="A84" s="20" t="inlineStr"/>
      <c r="B84" s="21" t="inlineStr">
        <is>
          <t>Door | Leaf</t>
        </is>
      </c>
      <c r="C84" s="22" t="n">
        <v>1</v>
      </c>
      <c r="D84" s="20" t="inlineStr">
        <is>
          <t>calculated</t>
        </is>
      </c>
      <c r="E84" s="20" t="n"/>
      <c r="F84" s="20" t="n"/>
      <c r="G84" s="20" t="inlineStr">
        <is>
          <t>HIGH</t>
        </is>
      </c>
      <c r="H84" s="20" t="inlineStr">
        <is>
          <t>dxf_blocks</t>
        </is>
      </c>
      <c r="I84" s="21" t="inlineStr">
        <is>
          <t>opening_mark=DOOR_90</t>
        </is>
      </c>
    </row>
    <row r="85">
      <c r="A85" s="20" t="inlineStr"/>
      <c r="B85" s="21" t="inlineStr">
        <is>
          <t>Door | Frame Set</t>
        </is>
      </c>
      <c r="C85" s="22" t="n">
        <v>1</v>
      </c>
      <c r="D85" s="20" t="inlineStr">
        <is>
          <t>calculated</t>
        </is>
      </c>
      <c r="E85" s="20" t="n"/>
      <c r="F85" s="20" t="n"/>
      <c r="G85" s="20" t="inlineStr">
        <is>
          <t>HIGH</t>
        </is>
      </c>
      <c r="H85" s="20" t="inlineStr">
        <is>
          <t>dxf_blocks</t>
        </is>
      </c>
      <c r="I85" s="21" t="inlineStr">
        <is>
          <t>opening_mark=DOOR_90</t>
        </is>
      </c>
    </row>
    <row r="86">
      <c r="A86" s="20" t="inlineStr"/>
      <c r="B86" s="21" t="inlineStr">
        <is>
          <t>Door | Hinge (pair)</t>
        </is>
      </c>
      <c r="C86" s="22" t="n">
        <v>3</v>
      </c>
      <c r="D86" s="20" t="inlineStr">
        <is>
          <t>calculated</t>
        </is>
      </c>
      <c r="E86" s="20" t="n"/>
      <c r="F86" s="20" t="n"/>
      <c r="G86" s="20" t="inlineStr">
        <is>
          <t>MEDIUM</t>
        </is>
      </c>
      <c r="H86" s="20" t="inlineStr">
        <is>
          <t>dxf_blocks</t>
        </is>
      </c>
      <c r="I86" s="21" t="inlineStr">
        <is>
          <t>opening_mark=DOOR_90  3 pairs per door (standard)</t>
        </is>
      </c>
    </row>
    <row r="87">
      <c r="A87" s="20" t="inlineStr"/>
      <c r="B87" s="21" t="inlineStr">
        <is>
          <t>Door | Lockset</t>
        </is>
      </c>
      <c r="C87" s="22" t="n">
        <v>1</v>
      </c>
      <c r="D87" s="20" t="inlineStr">
        <is>
          <t>calculated</t>
        </is>
      </c>
      <c r="E87" s="20" t="n"/>
      <c r="F87" s="20" t="n"/>
      <c r="G87" s="20" t="inlineStr">
        <is>
          <t>HIGH</t>
        </is>
      </c>
      <c r="H87" s="20" t="inlineStr">
        <is>
          <t>dxf_blocks</t>
        </is>
      </c>
      <c r="I87" s="21" t="inlineStr">
        <is>
          <t>opening_mark=DOOR_90</t>
        </is>
      </c>
    </row>
    <row r="88">
      <c r="A88" s="20" t="inlineStr"/>
      <c r="B88" s="21" t="inlineStr">
        <is>
          <t>Door | Stop</t>
        </is>
      </c>
      <c r="C88" s="22" t="n">
        <v>1</v>
      </c>
      <c r="D88" s="20" t="inlineStr">
        <is>
          <t>calculated</t>
        </is>
      </c>
      <c r="E88" s="20" t="n"/>
      <c r="F88" s="20" t="n"/>
      <c r="G88" s="20" t="inlineStr">
        <is>
          <t>HIGH</t>
        </is>
      </c>
      <c r="H88" s="20" t="inlineStr">
        <is>
          <t>dxf_blocks</t>
        </is>
      </c>
      <c r="I88" s="21" t="inlineStr">
        <is>
          <t>opening_mark=DOOR_90</t>
        </is>
      </c>
    </row>
    <row r="89">
      <c r="A89" s="20" t="inlineStr"/>
      <c r="B89" s="21" t="inlineStr">
        <is>
          <t>Door | Leaf</t>
        </is>
      </c>
      <c r="C89" s="22" t="n">
        <v>4</v>
      </c>
      <c r="D89" s="20" t="inlineStr">
        <is>
          <t>calculated</t>
        </is>
      </c>
      <c r="E89" s="20" t="n"/>
      <c r="F89" s="20" t="n"/>
      <c r="G89" s="20" t="inlineStr">
        <is>
          <t>HIGH</t>
        </is>
      </c>
      <c r="H89" s="20" t="inlineStr">
        <is>
          <t>dxf_blocks</t>
        </is>
      </c>
      <c r="I89" s="21" t="inlineStr">
        <is>
          <t>opening_mark=DOOR_82</t>
        </is>
      </c>
    </row>
    <row r="90">
      <c r="A90" s="20" t="inlineStr"/>
      <c r="B90" s="21" t="inlineStr">
        <is>
          <t>Door | Frame Set</t>
        </is>
      </c>
      <c r="C90" s="22" t="n">
        <v>4</v>
      </c>
      <c r="D90" s="20" t="inlineStr">
        <is>
          <t>calculated</t>
        </is>
      </c>
      <c r="E90" s="20" t="n"/>
      <c r="F90" s="20" t="n"/>
      <c r="G90" s="20" t="inlineStr">
        <is>
          <t>HIGH</t>
        </is>
      </c>
      <c r="H90" s="20" t="inlineStr">
        <is>
          <t>dxf_blocks</t>
        </is>
      </c>
      <c r="I90" s="21" t="inlineStr">
        <is>
          <t>opening_mark=DOOR_82</t>
        </is>
      </c>
    </row>
    <row r="91">
      <c r="A91" s="20" t="inlineStr"/>
      <c r="B91" s="21" t="inlineStr">
        <is>
          <t>Door | Hinge (pair)</t>
        </is>
      </c>
      <c r="C91" s="22" t="n">
        <v>12</v>
      </c>
      <c r="D91" s="20" t="inlineStr">
        <is>
          <t>calculated</t>
        </is>
      </c>
      <c r="E91" s="20" t="n"/>
      <c r="F91" s="20" t="n"/>
      <c r="G91" s="20" t="inlineStr">
        <is>
          <t>MEDIUM</t>
        </is>
      </c>
      <c r="H91" s="20" t="inlineStr">
        <is>
          <t>dxf_blocks</t>
        </is>
      </c>
      <c r="I91" s="21" t="inlineStr">
        <is>
          <t>opening_mark=DOOR_82  3 pairs per door (standard)</t>
        </is>
      </c>
    </row>
    <row r="92">
      <c r="A92" s="20" t="inlineStr"/>
      <c r="B92" s="21" t="inlineStr">
        <is>
          <t>Door | Lockset</t>
        </is>
      </c>
      <c r="C92" s="22" t="n">
        <v>4</v>
      </c>
      <c r="D92" s="20" t="inlineStr">
        <is>
          <t>calculated</t>
        </is>
      </c>
      <c r="E92" s="20" t="n"/>
      <c r="F92" s="20" t="n"/>
      <c r="G92" s="20" t="inlineStr">
        <is>
          <t>HIGH</t>
        </is>
      </c>
      <c r="H92" s="20" t="inlineStr">
        <is>
          <t>dxf_blocks</t>
        </is>
      </c>
      <c r="I92" s="21" t="inlineStr">
        <is>
          <t>opening_mark=DOOR_82</t>
        </is>
      </c>
    </row>
    <row r="93">
      <c r="A93" s="20" t="inlineStr"/>
      <c r="B93" s="21" t="inlineStr">
        <is>
          <t>Door | Stop</t>
        </is>
      </c>
      <c r="C93" s="22" t="n">
        <v>4</v>
      </c>
      <c r="D93" s="20" t="inlineStr">
        <is>
          <t>calculated</t>
        </is>
      </c>
      <c r="E93" s="20" t="n"/>
      <c r="F93" s="20" t="n"/>
      <c r="G93" s="20" t="inlineStr">
        <is>
          <t>HIGH</t>
        </is>
      </c>
      <c r="H93" s="20" t="inlineStr">
        <is>
          <t>dxf_blocks</t>
        </is>
      </c>
      <c r="I93" s="21" t="inlineStr">
        <is>
          <t>opening_mark=DOOR_82</t>
        </is>
      </c>
    </row>
    <row r="94">
      <c r="A94" s="20" t="inlineStr"/>
      <c r="B94" s="21" t="inlineStr">
        <is>
          <t>Door | Leaf</t>
        </is>
      </c>
      <c r="C94" s="22" t="n">
        <v>1</v>
      </c>
      <c r="D94" s="20" t="inlineStr">
        <is>
          <t>calculated</t>
        </is>
      </c>
      <c r="E94" s="20" t="n"/>
      <c r="F94" s="20" t="n"/>
      <c r="G94" s="20" t="inlineStr">
        <is>
          <t>HIGH</t>
        </is>
      </c>
      <c r="H94" s="20" t="inlineStr">
        <is>
          <t>dxf_blocks</t>
        </is>
      </c>
      <c r="I94" s="21" t="inlineStr">
        <is>
          <t>opening_mark=DOOR_72</t>
        </is>
      </c>
    </row>
    <row r="95">
      <c r="A95" s="20" t="inlineStr"/>
      <c r="B95" s="21" t="inlineStr">
        <is>
          <t>Door | Frame Set</t>
        </is>
      </c>
      <c r="C95" s="22" t="n">
        <v>1</v>
      </c>
      <c r="D95" s="20" t="inlineStr">
        <is>
          <t>calculated</t>
        </is>
      </c>
      <c r="E95" s="20" t="n"/>
      <c r="F95" s="20" t="n"/>
      <c r="G95" s="20" t="inlineStr">
        <is>
          <t>HIGH</t>
        </is>
      </c>
      <c r="H95" s="20" t="inlineStr">
        <is>
          <t>dxf_blocks</t>
        </is>
      </c>
      <c r="I95" s="21" t="inlineStr">
        <is>
          <t>opening_mark=DOOR_72</t>
        </is>
      </c>
    </row>
    <row r="96">
      <c r="A96" s="20" t="inlineStr"/>
      <c r="B96" s="21" t="inlineStr">
        <is>
          <t>Door | Hinge (pair)</t>
        </is>
      </c>
      <c r="C96" s="22" t="n">
        <v>3</v>
      </c>
      <c r="D96" s="20" t="inlineStr">
        <is>
          <t>calculated</t>
        </is>
      </c>
      <c r="E96" s="20" t="n"/>
      <c r="F96" s="20" t="n"/>
      <c r="G96" s="20" t="inlineStr">
        <is>
          <t>MEDIUM</t>
        </is>
      </c>
      <c r="H96" s="20" t="inlineStr">
        <is>
          <t>dxf_blocks</t>
        </is>
      </c>
      <c r="I96" s="21" t="inlineStr">
        <is>
          <t>opening_mark=DOOR_72  3 pairs per door (standard)</t>
        </is>
      </c>
    </row>
    <row r="97">
      <c r="A97" s="20" t="inlineStr"/>
      <c r="B97" s="21" t="inlineStr">
        <is>
          <t>Door | Lockset</t>
        </is>
      </c>
      <c r="C97" s="22" t="n">
        <v>1</v>
      </c>
      <c r="D97" s="20" t="inlineStr">
        <is>
          <t>calculated</t>
        </is>
      </c>
      <c r="E97" s="20" t="n"/>
      <c r="F97" s="20" t="n"/>
      <c r="G97" s="20" t="inlineStr">
        <is>
          <t>HIGH</t>
        </is>
      </c>
      <c r="H97" s="20" t="inlineStr">
        <is>
          <t>dxf_blocks</t>
        </is>
      </c>
      <c r="I97" s="21" t="inlineStr">
        <is>
          <t>opening_mark=DOOR_72</t>
        </is>
      </c>
    </row>
    <row r="98">
      <c r="A98" s="20" t="inlineStr"/>
      <c r="B98" s="21" t="inlineStr">
        <is>
          <t>Door | Stop</t>
        </is>
      </c>
      <c r="C98" s="22" t="n">
        <v>1</v>
      </c>
      <c r="D98" s="20" t="inlineStr">
        <is>
          <t>calculated</t>
        </is>
      </c>
      <c r="E98" s="20" t="n"/>
      <c r="F98" s="20" t="n"/>
      <c r="G98" s="20" t="inlineStr">
        <is>
          <t>HIGH</t>
        </is>
      </c>
      <c r="H98" s="20" t="inlineStr">
        <is>
          <t>dxf_blocks</t>
        </is>
      </c>
      <c r="I98" s="21" t="inlineStr">
        <is>
          <t>opening_mark=DOOR_72</t>
        </is>
      </c>
    </row>
    <row r="99">
      <c r="A99" s="20" t="inlineStr"/>
      <c r="B99" s="21" t="inlineStr">
        <is>
          <t>Window | Louvre, 1100mm Wide</t>
        </is>
      </c>
      <c r="C99" s="22" t="n">
        <v>8</v>
      </c>
      <c r="D99" s="20" t="inlineStr">
        <is>
          <t>measured</t>
        </is>
      </c>
      <c r="E99" s="20" t="n"/>
      <c r="F99" s="20" t="n"/>
      <c r="G99" s="20" t="inlineStr">
        <is>
          <t>MEDIUM</t>
        </is>
      </c>
      <c r="H99" s="20" t="inlineStr">
        <is>
          <t>dxf_blocks</t>
        </is>
      </c>
      <c r="I99" s="21" t="inlineStr">
        <is>
          <t>type=louvre</t>
        </is>
      </c>
    </row>
    <row r="100">
      <c r="A100" s="20" t="inlineStr"/>
      <c r="B100" s="21" t="inlineStr">
        <is>
          <t>Window | Louvre, 800mm Wide</t>
        </is>
      </c>
      <c r="C100" s="22" t="n">
        <v>2</v>
      </c>
      <c r="D100" s="20" t="inlineStr">
        <is>
          <t>measured</t>
        </is>
      </c>
      <c r="E100" s="20" t="n"/>
      <c r="F100" s="20" t="n"/>
      <c r="G100" s="20" t="inlineStr">
        <is>
          <t>MEDIUM</t>
        </is>
      </c>
      <c r="H100" s="20" t="inlineStr">
        <is>
          <t>dxf_blocks</t>
        </is>
      </c>
      <c r="I100" s="21" t="inlineStr">
        <is>
          <t>type=louvre</t>
        </is>
      </c>
    </row>
    <row r="101">
      <c r="A101" s="20" t="inlineStr"/>
      <c r="B101" s="21" t="inlineStr">
        <is>
          <t>Window | Louvre, 1800mm Wide</t>
        </is>
      </c>
      <c r="C101" s="22" t="n">
        <v>1</v>
      </c>
      <c r="D101" s="20" t="inlineStr">
        <is>
          <t>measured</t>
        </is>
      </c>
      <c r="E101" s="20" t="n"/>
      <c r="F101" s="20" t="n"/>
      <c r="G101" s="20" t="inlineStr">
        <is>
          <t>MEDIUM</t>
        </is>
      </c>
      <c r="H101" s="20" t="inlineStr">
        <is>
          <t>dxf_blocks</t>
        </is>
      </c>
      <c r="I101" s="21" t="inlineStr">
        <is>
          <t>type=louvre</t>
        </is>
      </c>
    </row>
    <row r="102">
      <c r="A102" s="20" t="inlineStr"/>
      <c r="B102" s="21" t="inlineStr">
        <is>
          <t>Flashing | Window Head, Galvanised</t>
        </is>
      </c>
      <c r="C102" s="22" t="n">
        <v>9.44</v>
      </c>
      <c r="D102" s="20" t="inlineStr">
        <is>
          <t>calculated</t>
        </is>
      </c>
      <c r="E102" s="20" t="n"/>
      <c r="F102" s="20" t="n"/>
      <c r="G102" s="20" t="inlineStr">
        <is>
          <t>MEDIUM</t>
        </is>
      </c>
      <c r="H102" s="20" t="inlineStr">
        <is>
          <t>dxf_blocks</t>
        </is>
      </c>
      <c r="I102" s="21" t="inlineStr">
        <is>
          <t>Head flashing extends 50 mm beyond frame each side.</t>
        </is>
      </c>
    </row>
    <row r="103">
      <c r="A103" s="20" t="inlineStr"/>
      <c r="B103" s="21" t="inlineStr">
        <is>
          <t>Flashing | Window Sill, Galvanised</t>
        </is>
      </c>
      <c r="C103" s="22" t="n">
        <v>9.44</v>
      </c>
      <c r="D103" s="20" t="inlineStr">
        <is>
          <t>calculated</t>
        </is>
      </c>
      <c r="E103" s="20" t="n"/>
      <c r="F103" s="20" t="n"/>
      <c r="G103" s="20" t="inlineStr">
        <is>
          <t>MEDIUM</t>
        </is>
      </c>
      <c r="H103" s="20" t="inlineStr">
        <is>
          <t>dxf_blocks</t>
        </is>
      </c>
      <c r="I103" s="21" t="inlineStr">
        <is>
          <t>Sill flashing same lm as head flashing. Remove if window sits on masonry sill.</t>
        </is>
      </c>
    </row>
    <row r="104">
      <c r="A104" s="11" t="inlineStr"/>
      <c r="B104" s="12" t="inlineStr">
        <is>
          <t>Window | Louvre Blade, 1100mm Wide</t>
        </is>
      </c>
      <c r="C104" s="13" t="n">
        <v>64</v>
      </c>
      <c r="D104" s="11" t="inlineStr">
        <is>
          <t>calculated</t>
        </is>
      </c>
      <c r="E104" s="11" t="n"/>
      <c r="F104" s="11" t="n"/>
      <c r="G104" s="11" t="inlineStr">
        <is>
          <t>LOW</t>
        </is>
      </c>
      <c r="H104" s="11" t="inlineStr">
        <is>
          <t>dxf_blocks</t>
        </is>
      </c>
      <c r="I104" s="12" t="inlineStr">
        <is>
          <t>MANUAL REVIEW REQUIRED. Frame height 750 mm (config_default=750mm). 8 blades per frame at 100 mm pitch. Verify blade count and size from window schedule.</t>
        </is>
      </c>
    </row>
    <row r="105">
      <c r="A105" s="20" t="inlineStr"/>
      <c r="B105" s="21" t="inlineStr">
        <is>
          <t>Flashing | Window Head, Galvanised</t>
        </is>
      </c>
      <c r="C105" s="22" t="n">
        <v>1.8</v>
      </c>
      <c r="D105" s="20" t="inlineStr">
        <is>
          <t>calculated</t>
        </is>
      </c>
      <c r="E105" s="20" t="n"/>
      <c r="F105" s="20" t="n"/>
      <c r="G105" s="20" t="inlineStr">
        <is>
          <t>MEDIUM</t>
        </is>
      </c>
      <c r="H105" s="20" t="inlineStr">
        <is>
          <t>dxf_blocks</t>
        </is>
      </c>
      <c r="I105" s="21" t="inlineStr">
        <is>
          <t>Head flashing extends 50 mm beyond frame each side.</t>
        </is>
      </c>
    </row>
    <row r="106">
      <c r="A106" s="20" t="inlineStr"/>
      <c r="B106" s="21" t="inlineStr">
        <is>
          <t>Flashing | Window Sill, Galvanised</t>
        </is>
      </c>
      <c r="C106" s="22" t="n">
        <v>1.8</v>
      </c>
      <c r="D106" s="20" t="inlineStr">
        <is>
          <t>calculated</t>
        </is>
      </c>
      <c r="E106" s="20" t="n"/>
      <c r="F106" s="20" t="n"/>
      <c r="G106" s="20" t="inlineStr">
        <is>
          <t>MEDIUM</t>
        </is>
      </c>
      <c r="H106" s="20" t="inlineStr">
        <is>
          <t>dxf_blocks</t>
        </is>
      </c>
      <c r="I106" s="21" t="inlineStr">
        <is>
          <t>Sill flashing same lm as head flashing. Remove if window sits on masonry sill.</t>
        </is>
      </c>
    </row>
    <row r="107">
      <c r="A107" s="11" t="inlineStr"/>
      <c r="B107" s="12" t="inlineStr">
        <is>
          <t>Window | Louvre Blade, 800mm Wide</t>
        </is>
      </c>
      <c r="C107" s="13" t="n">
        <v>16</v>
      </c>
      <c r="D107" s="11" t="inlineStr">
        <is>
          <t>calculated</t>
        </is>
      </c>
      <c r="E107" s="11" t="n"/>
      <c r="F107" s="11" t="n"/>
      <c r="G107" s="11" t="inlineStr">
        <is>
          <t>LOW</t>
        </is>
      </c>
      <c r="H107" s="11" t="inlineStr">
        <is>
          <t>dxf_blocks</t>
        </is>
      </c>
      <c r="I107" s="12" t="inlineStr">
        <is>
          <t>MANUAL REVIEW REQUIRED. Frame height 750 mm (config_default=750mm). 8 blades per frame at 100 mm pitch. Verify blade count and size from window schedule.</t>
        </is>
      </c>
    </row>
    <row r="108">
      <c r="A108" s="20" t="inlineStr"/>
      <c r="B108" s="21" t="inlineStr">
        <is>
          <t>Flashing | Window Head, Galvanised</t>
        </is>
      </c>
      <c r="C108" s="22" t="n">
        <v>1.95</v>
      </c>
      <c r="D108" s="20" t="inlineStr">
        <is>
          <t>calculated</t>
        </is>
      </c>
      <c r="E108" s="20" t="n"/>
      <c r="F108" s="20" t="n"/>
      <c r="G108" s="20" t="inlineStr">
        <is>
          <t>MEDIUM</t>
        </is>
      </c>
      <c r="H108" s="20" t="inlineStr">
        <is>
          <t>dxf_blocks</t>
        </is>
      </c>
      <c r="I108" s="21" t="inlineStr">
        <is>
          <t>Head flashing extends 50 mm beyond frame each side.</t>
        </is>
      </c>
    </row>
    <row r="109">
      <c r="A109" s="20" t="inlineStr"/>
      <c r="B109" s="21" t="inlineStr">
        <is>
          <t>Flashing | Window Sill, Galvanised</t>
        </is>
      </c>
      <c r="C109" s="22" t="n">
        <v>1.95</v>
      </c>
      <c r="D109" s="20" t="inlineStr">
        <is>
          <t>calculated</t>
        </is>
      </c>
      <c r="E109" s="20" t="n"/>
      <c r="F109" s="20" t="n"/>
      <c r="G109" s="20" t="inlineStr">
        <is>
          <t>MEDIUM</t>
        </is>
      </c>
      <c r="H109" s="20" t="inlineStr">
        <is>
          <t>dxf_blocks</t>
        </is>
      </c>
      <c r="I109" s="21" t="inlineStr">
        <is>
          <t>Sill flashing same lm as head flashing. Remove if window sits on masonry sill.</t>
        </is>
      </c>
    </row>
    <row r="110">
      <c r="A110" s="11" t="inlineStr"/>
      <c r="B110" s="12" t="inlineStr">
        <is>
          <t>Window | Louvre Blade, 1800mm Wide</t>
        </is>
      </c>
      <c r="C110" s="13" t="n">
        <v>8</v>
      </c>
      <c r="D110" s="11" t="inlineStr">
        <is>
          <t>calculated</t>
        </is>
      </c>
      <c r="E110" s="11" t="n"/>
      <c r="F110" s="11" t="n"/>
      <c r="G110" s="11" t="inlineStr">
        <is>
          <t>LOW</t>
        </is>
      </c>
      <c r="H110" s="11" t="inlineStr">
        <is>
          <t>dxf_blocks</t>
        </is>
      </c>
      <c r="I110" s="12" t="inlineStr">
        <is>
          <t>MANUAL REVIEW REQUIRED. Frame height 750 mm (config_default=750mm). 8 blades per frame at 100 mm pitch. Verify blade count and size from window schedule.</t>
        </is>
      </c>
    </row>
    <row r="111">
      <c r="A111" s="20" t="inlineStr"/>
      <c r="B111" s="21" t="inlineStr">
        <is>
          <t>Window | Louvre Frame</t>
        </is>
      </c>
      <c r="C111" s="22" t="n">
        <v>8</v>
      </c>
      <c r="D111" s="20" t="inlineStr">
        <is>
          <t>calculated</t>
        </is>
      </c>
      <c r="E111" s="20" t="n"/>
      <c r="F111" s="20" t="n"/>
      <c r="G111" s="20" t="inlineStr">
        <is>
          <t>MEDIUM</t>
        </is>
      </c>
      <c r="H111" s="20" t="inlineStr">
        <is>
          <t>dxf_blocks</t>
        </is>
      </c>
      <c r="I111" s="21" t="inlineStr">
        <is>
          <t>opening_mark=WINDOW_LOUVRE_1100</t>
        </is>
      </c>
    </row>
    <row r="112">
      <c r="A112" s="20" t="inlineStr"/>
      <c r="B112" s="21" t="inlineStr">
        <is>
          <t>Window | Louvre Blade</t>
        </is>
      </c>
      <c r="C112" s="22" t="n">
        <v>8</v>
      </c>
      <c r="D112" s="20" t="inlineStr">
        <is>
          <t>calculated</t>
        </is>
      </c>
      <c r="E112" s="20" t="n"/>
      <c r="F112" s="20" t="n"/>
      <c r="G112" s="20" t="inlineStr">
        <is>
          <t>MEDIUM</t>
        </is>
      </c>
      <c r="H112" s="20" t="inlineStr">
        <is>
          <t>dxf_blocks</t>
        </is>
      </c>
      <c r="I112" s="21" t="inlineStr">
        <is>
          <t>opening_mark=WINDOW_LOUVRE_1100</t>
        </is>
      </c>
    </row>
    <row r="113">
      <c r="A113" s="20" t="inlineStr"/>
      <c r="B113" s="21" t="inlineStr">
        <is>
          <t>Window | Fly Screen</t>
        </is>
      </c>
      <c r="C113" s="22" t="n">
        <v>8</v>
      </c>
      <c r="D113" s="20" t="inlineStr">
        <is>
          <t>calculated</t>
        </is>
      </c>
      <c r="E113" s="20" t="n"/>
      <c r="F113" s="20" t="n"/>
      <c r="G113" s="20" t="inlineStr">
        <is>
          <t>MEDIUM</t>
        </is>
      </c>
      <c r="H113" s="20" t="inlineStr">
        <is>
          <t>dxf_blocks</t>
        </is>
      </c>
      <c r="I113" s="21" t="inlineStr">
        <is>
          <t>opening_mark=WINDOW_LOUVRE_1100</t>
        </is>
      </c>
    </row>
    <row r="114">
      <c r="A114" s="20" t="inlineStr"/>
      <c r="B114" s="21" t="inlineStr">
        <is>
          <t>Window | Louvre Frame</t>
        </is>
      </c>
      <c r="C114" s="22" t="n">
        <v>2</v>
      </c>
      <c r="D114" s="20" t="inlineStr">
        <is>
          <t>calculated</t>
        </is>
      </c>
      <c r="E114" s="20" t="n"/>
      <c r="F114" s="20" t="n"/>
      <c r="G114" s="20" t="inlineStr">
        <is>
          <t>MEDIUM</t>
        </is>
      </c>
      <c r="H114" s="20" t="inlineStr">
        <is>
          <t>dxf_blocks</t>
        </is>
      </c>
      <c r="I114" s="21" t="inlineStr">
        <is>
          <t>opening_mark=WINDOW_LOUVRE_800</t>
        </is>
      </c>
    </row>
    <row r="115">
      <c r="A115" s="20" t="inlineStr"/>
      <c r="B115" s="21" t="inlineStr">
        <is>
          <t>Window | Louvre Blade</t>
        </is>
      </c>
      <c r="C115" s="22" t="n">
        <v>2</v>
      </c>
      <c r="D115" s="20" t="inlineStr">
        <is>
          <t>calculated</t>
        </is>
      </c>
      <c r="E115" s="20" t="n"/>
      <c r="F115" s="20" t="n"/>
      <c r="G115" s="20" t="inlineStr">
        <is>
          <t>MEDIUM</t>
        </is>
      </c>
      <c r="H115" s="20" t="inlineStr">
        <is>
          <t>dxf_blocks</t>
        </is>
      </c>
      <c r="I115" s="21" t="inlineStr">
        <is>
          <t>opening_mark=WINDOW_LOUVRE_800</t>
        </is>
      </c>
    </row>
    <row r="116">
      <c r="A116" s="20" t="inlineStr"/>
      <c r="B116" s="21" t="inlineStr">
        <is>
          <t>Window | Fly Screen</t>
        </is>
      </c>
      <c r="C116" s="22" t="n">
        <v>2</v>
      </c>
      <c r="D116" s="20" t="inlineStr">
        <is>
          <t>calculated</t>
        </is>
      </c>
      <c r="E116" s="20" t="n"/>
      <c r="F116" s="20" t="n"/>
      <c r="G116" s="20" t="inlineStr">
        <is>
          <t>MEDIUM</t>
        </is>
      </c>
      <c r="H116" s="20" t="inlineStr">
        <is>
          <t>dxf_blocks</t>
        </is>
      </c>
      <c r="I116" s="21" t="inlineStr">
        <is>
          <t>opening_mark=WINDOW_LOUVRE_800</t>
        </is>
      </c>
    </row>
    <row r="117">
      <c r="A117" s="20" t="inlineStr"/>
      <c r="B117" s="21" t="inlineStr">
        <is>
          <t>Window | Louvre Frame</t>
        </is>
      </c>
      <c r="C117" s="22" t="n">
        <v>1</v>
      </c>
      <c r="D117" s="20" t="inlineStr">
        <is>
          <t>calculated</t>
        </is>
      </c>
      <c r="E117" s="20" t="n"/>
      <c r="F117" s="20" t="n"/>
      <c r="G117" s="20" t="inlineStr">
        <is>
          <t>MEDIUM</t>
        </is>
      </c>
      <c r="H117" s="20" t="inlineStr">
        <is>
          <t>dxf_blocks</t>
        </is>
      </c>
      <c r="I117" s="21" t="inlineStr">
        <is>
          <t>opening_mark=WINDOW_LOUVRE_1800</t>
        </is>
      </c>
    </row>
    <row r="118">
      <c r="A118" s="20" t="inlineStr"/>
      <c r="B118" s="21" t="inlineStr">
        <is>
          <t>Window | Louvre Blade</t>
        </is>
      </c>
      <c r="C118" s="22" t="n">
        <v>1</v>
      </c>
      <c r="D118" s="20" t="inlineStr">
        <is>
          <t>calculated</t>
        </is>
      </c>
      <c r="E118" s="20" t="n"/>
      <c r="F118" s="20" t="n"/>
      <c r="G118" s="20" t="inlineStr">
        <is>
          <t>MEDIUM</t>
        </is>
      </c>
      <c r="H118" s="20" t="inlineStr">
        <is>
          <t>dxf_blocks</t>
        </is>
      </c>
      <c r="I118" s="21" t="inlineStr">
        <is>
          <t>opening_mark=WINDOW_LOUVRE_1800</t>
        </is>
      </c>
    </row>
    <row r="119">
      <c r="A119" s="20" t="inlineStr"/>
      <c r="B119" s="21" t="inlineStr">
        <is>
          <t>Window | Fly Screen</t>
        </is>
      </c>
      <c r="C119" s="22" t="n">
        <v>1</v>
      </c>
      <c r="D119" s="20" t="inlineStr">
        <is>
          <t>calculated</t>
        </is>
      </c>
      <c r="E119" s="20" t="n"/>
      <c r="F119" s="20" t="n"/>
      <c r="G119" s="20" t="inlineStr">
        <is>
          <t>MEDIUM</t>
        </is>
      </c>
      <c r="H119" s="20" t="inlineStr">
        <is>
          <t>dxf_blocks</t>
        </is>
      </c>
      <c r="I119" s="21" t="inlineStr">
        <is>
          <t>opening_mark=WINDOW_LOUVRE_1800</t>
        </is>
      </c>
    </row>
    <row r="120">
      <c r="A120" s="11" t="inlineStr"/>
      <c r="B120" s="12" t="inlineStr">
        <is>
          <t>Window | Fly Screen, 1100mm Wide</t>
        </is>
      </c>
      <c r="C120" s="13" t="n">
        <v>6.48</v>
      </c>
      <c r="D120" s="11" t="inlineStr">
        <is>
          <t>calculated</t>
        </is>
      </c>
      <c r="E120" s="11" t="n"/>
      <c r="F120" s="11" t="n"/>
      <c r="G120" s="11" t="inlineStr">
        <is>
          <t>LOW</t>
        </is>
      </c>
      <c r="H120" s="11" t="inlineStr">
        <is>
          <t>dxf_blocks</t>
        </is>
      </c>
      <c r="I120" s="12" t="inlineStr">
        <is>
          <t>MANUAL REVIEW REQUIRED. Fly screen for louvre window WINDOW_LOUVRE_1100 (8 nr). Area: 1.08m × 0.750m = 0.810 m² each. Tropical building — all louvre openings require insect screening. Verify frame height from window schedule.</t>
        </is>
      </c>
    </row>
    <row r="121">
      <c r="A121" s="11" t="inlineStr"/>
      <c r="B121" s="12" t="inlineStr">
        <is>
          <t>Window | Fly Screen, 800mm Wide</t>
        </is>
      </c>
      <c r="C121" s="13" t="n">
        <v>1.2</v>
      </c>
      <c r="D121" s="11" t="inlineStr">
        <is>
          <t>calculated</t>
        </is>
      </c>
      <c r="E121" s="11" t="n"/>
      <c r="F121" s="11" t="n"/>
      <c r="G121" s="11" t="inlineStr">
        <is>
          <t>LOW</t>
        </is>
      </c>
      <c r="H121" s="11" t="inlineStr">
        <is>
          <t>dxf_blocks</t>
        </is>
      </c>
      <c r="I121" s="12" t="inlineStr">
        <is>
          <t>MANUAL REVIEW REQUIRED. Fly screen for louvre window WINDOW_LOUVRE_800 (2 nr). Area: 0.80m × 0.750m = 0.599 m² each. Tropical building — all louvre openings require insect screening. Verify frame height from window schedule.</t>
        </is>
      </c>
    </row>
    <row r="122">
      <c r="A122" s="11" t="inlineStr"/>
      <c r="B122" s="12" t="inlineStr">
        <is>
          <t>Window | Fly Screen, 1800mm Wide</t>
        </is>
      </c>
      <c r="C122" s="13" t="n">
        <v>1.39</v>
      </c>
      <c r="D122" s="11" t="inlineStr">
        <is>
          <t>calculated</t>
        </is>
      </c>
      <c r="E122" s="11" t="n"/>
      <c r="F122" s="11" t="n"/>
      <c r="G122" s="11" t="inlineStr">
        <is>
          <t>LOW</t>
        </is>
      </c>
      <c r="H122" s="11" t="inlineStr">
        <is>
          <t>dxf_blocks</t>
        </is>
      </c>
      <c r="I122" s="12" t="inlineStr">
        <is>
          <t>MANUAL REVIEW REQUIRED. Fly screen for louvre window WINDOW_LOUVRE_1800 (1 nr). Area: 1.85m × 0.750m = 1.385 m² each. Tropical building — all louvre openings require insect screening. Verify frame height from window schedule.</t>
        </is>
      </c>
    </row>
    <row r="123">
      <c r="A123" s="11" t="inlineStr"/>
      <c r="B123" s="12" t="inlineStr">
        <is>
          <t>Door | Closer, Hydraulic</t>
        </is>
      </c>
      <c r="C123" s="13" t="n">
        <v>1</v>
      </c>
      <c r="D123" s="11" t="inlineStr">
        <is>
          <t>inferred</t>
        </is>
      </c>
      <c r="E123" s="11" t="n"/>
      <c r="F123" s="11" t="n"/>
      <c r="G123" s="11" t="inlineStr">
        <is>
          <t>MEDIUM</t>
        </is>
      </c>
      <c r="H123" s="11" t="inlineStr">
        <is>
          <t>dxf_blocks</t>
        </is>
      </c>
      <c r="I123" s="12" t="inlineStr">
        <is>
          <t>MANUAL REVIEW REQUIRED. Door closer inferred for pharmacy entrance doors. Marks: DOOR_90 (1 nr). Verify which doors require closers from door schedule and architect. Commercial pharmacy may require controlled entry.</t>
        </is>
      </c>
    </row>
    <row r="124">
      <c r="A124" s="20" t="inlineStr"/>
      <c r="B124" s="21" t="inlineStr">
        <is>
          <t>Timber Architrave | 12 x 75 x 2400mm Timber</t>
        </is>
      </c>
      <c r="C124" s="22" t="n">
        <v>36</v>
      </c>
      <c r="D124" s="20" t="inlineStr">
        <is>
          <t>calculated</t>
        </is>
      </c>
      <c r="E124" s="20" t="n"/>
      <c r="F124" s="20" t="n"/>
      <c r="G124" s="20" t="inlineStr">
        <is>
          <t>MEDIUM</t>
        </is>
      </c>
      <c r="H124" s="20" t="inlineStr">
        <is>
          <t>derived from door_count=6</t>
        </is>
      </c>
      <c r="I124" s="21" t="inlineStr"/>
    </row>
    <row r="125">
      <c r="A125" s="20" t="inlineStr"/>
      <c r="B125" s="21" t="inlineStr">
        <is>
          <t>Timber Architrave | 12 x 75 x 2400mm Timber</t>
        </is>
      </c>
      <c r="C125" s="22" t="n">
        <v>52.8</v>
      </c>
      <c r="D125" s="20" t="inlineStr">
        <is>
          <t>calculated</t>
        </is>
      </c>
      <c r="E125" s="20" t="n"/>
      <c r="F125" s="20" t="n"/>
      <c r="G125" s="20" t="inlineStr">
        <is>
          <t>MEDIUM</t>
        </is>
      </c>
      <c r="H125" s="20" t="inlineStr">
        <is>
          <t>derived from window_count=11</t>
        </is>
      </c>
      <c r="I125" s="21" t="inlineStr"/>
    </row>
    <row r="126" ht="18" customHeight="1">
      <c r="A126" s="3" t="inlineStr">
        <is>
          <t>50115 - Internal Linings &amp; Ceilings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23" t="inlineStr"/>
      <c r="B127" s="24" t="inlineStr">
        <is>
          <t>External Lining | FC Sheet, 1200 x 2400mm</t>
        </is>
      </c>
      <c r="C127" s="25" t="n">
        <v>27</v>
      </c>
      <c r="D127" s="23" t="inlineStr">
        <is>
          <t>calculated</t>
        </is>
      </c>
      <c r="E127" s="23" t="n"/>
      <c r="F127" s="23" t="n"/>
      <c r="G127" s="23" t="inlineStr">
        <is>
          <t>MEDIUM</t>
        </is>
      </c>
      <c r="H127" s="23" t="inlineStr">
        <is>
          <t>dxf_geometry</t>
        </is>
      </c>
      <c r="I127" s="24" t="inlineStr">
        <is>
          <t>Opening deductions: doors=1.877 m² [DOOR_90×1(0.920×2.04)]; windows=9.064 m² [WINDOW_LOUVRE_1100×8(1.080×0.75), WINDOW_LOUVRE_800×2(0.799×0.75), WINDOW_LOUVRE_1800×1(1.847×0.75)] (louvre height=0.75 m from config default). Gross=92.16 m² − 10.941 m² = net=81.22 m².</t>
        </is>
      </c>
    </row>
    <row r="128">
      <c r="A128" s="23" t="inlineStr"/>
      <c r="B128" s="24" t="inlineStr">
        <is>
          <t>Fixing | FC Sheet Screw (External)</t>
        </is>
      </c>
      <c r="C128" s="25" t="n">
        <v>11</v>
      </c>
      <c r="D128" s="23" t="inlineStr">
        <is>
          <t>calculated</t>
        </is>
      </c>
      <c r="E128" s="23" t="n"/>
      <c r="F128" s="23" t="n"/>
      <c r="G128" s="23" t="inlineStr">
        <is>
          <t>LOW</t>
        </is>
      </c>
      <c r="H128" s="23" t="inlineStr">
        <is>
          <t>derived from ext_wall_area_net</t>
        </is>
      </c>
      <c r="I128" s="24" t="inlineStr"/>
    </row>
    <row r="129">
      <c r="A129" s="23" t="inlineStr"/>
      <c r="B129" s="24" t="inlineStr">
        <is>
          <t>Internal Lining | FC Sheet, 1200 x 2400mm</t>
        </is>
      </c>
      <c r="C129" s="25" t="n">
        <v>41</v>
      </c>
      <c r="D129" s="23" t="inlineStr">
        <is>
          <t>calculated</t>
        </is>
      </c>
      <c r="E129" s="23" t="n"/>
      <c r="F129" s="23" t="n"/>
      <c r="G129" s="23" t="inlineStr">
        <is>
          <t>HIGH</t>
        </is>
      </c>
      <c r="H129" s="23" t="inlineStr">
        <is>
          <t>dxf_geometry</t>
        </is>
      </c>
      <c r="I129" s="24" t="inlineStr">
        <is>
          <t>Opening deductions (assumed-internal doors, both partition faces): 16.320 m² [DOOR_82×4×2f(0.820×2.04), DOOR_72×1×2f(0.720×2.04)]. Gross=141.12 m² − 16.320 m² = net=124.80 m². Doors classified as internal by width &lt; 0.85 m threshold. Measured from DXF WALLS layer: 8 internal wall runs.</t>
        </is>
      </c>
    </row>
    <row r="130">
      <c r="A130" s="23" t="inlineStr"/>
      <c r="B130" s="24" t="inlineStr">
        <is>
          <t>Fixing | FC Sheet Screw (Internal)</t>
        </is>
      </c>
      <c r="C130" s="25" t="n">
        <v>16</v>
      </c>
      <c r="D130" s="23" t="inlineStr">
        <is>
          <t>calculated</t>
        </is>
      </c>
      <c r="E130" s="23" t="n"/>
      <c r="F130" s="23" t="n"/>
      <c r="G130" s="23" t="inlineStr">
        <is>
          <t>LOW</t>
        </is>
      </c>
      <c r="H130" s="23" t="inlineStr">
        <is>
          <t>derived from int_wall_area_bot</t>
        </is>
      </c>
      <c r="I130" s="24" t="inlineStr">
        <is>
          <t>Opening deductions (assumed-internal doors, both partition faces): 16.320 m² [DOOR_82×4×2f(0.820×2.04), DOOR_72×1×2f(0.720×2.04)]. Gross=141.12 m² − 16.320 m² = net=124.80 m². Doors classified as internal by width &lt; 0.85 m threshold. Measured from DXF WALLS layer: 8 internal wall runs.</t>
        </is>
      </c>
    </row>
    <row r="131">
      <c r="A131" s="23" t="inlineStr"/>
      <c r="B131" s="24" t="inlineStr">
        <is>
          <t>Internal Lining Accessory | PVC H Joiner</t>
        </is>
      </c>
      <c r="C131" s="25" t="n">
        <v>117.6</v>
      </c>
      <c r="D131" s="23" t="inlineStr">
        <is>
          <t>calculated</t>
        </is>
      </c>
      <c r="E131" s="23" t="n"/>
      <c r="F131" s="23" t="n"/>
      <c r="G131" s="23" t="inlineStr">
        <is>
          <t>LOW</t>
        </is>
      </c>
      <c r="H131" s="23" t="inlineStr">
        <is>
          <t>dxf_geometry</t>
        </is>
      </c>
      <c r="I131" s="24" t="inlineStr">
        <is>
          <t>1 vertical joiner strip per 1.2 m sheet-width run × 2.4 m height.</t>
        </is>
      </c>
    </row>
    <row r="132">
      <c r="A132" s="11" t="inlineStr"/>
      <c r="B132" s="12" t="inlineStr">
        <is>
          <t>Internal Lining | Waterproof Board / FC, Wet Area</t>
        </is>
      </c>
      <c r="C132" s="13" t="n">
        <v>7</v>
      </c>
      <c r="D132" s="11" t="inlineStr">
        <is>
          <t>inferred</t>
        </is>
      </c>
      <c r="E132" s="11" t="n"/>
      <c r="F132" s="11" t="n"/>
      <c r="G132" s="11" t="inlineStr">
        <is>
          <t>LOW</t>
        </is>
      </c>
      <c r="H132" s="11" t="inlineStr">
        <is>
          <t>rooms=['Toilet']</t>
        </is>
      </c>
      <c r="I132" s="12" t="inlineStr">
        <is>
          <t>MANUAL REVIEW REQUIRED. Wet area lining derived from room perimeter estimate. Verify room dimensions.</t>
        </is>
      </c>
    </row>
    <row r="133">
      <c r="A133" s="23" t="inlineStr"/>
      <c r="B133" s="24" t="inlineStr">
        <is>
          <t>Ceiling Lining | FC Sheet, 1200 x 2400mm</t>
        </is>
      </c>
      <c r="C133" s="25" t="n">
        <v>24</v>
      </c>
      <c r="D133" s="23" t="inlineStr">
        <is>
          <t>calculated</t>
        </is>
      </c>
      <c r="E133" s="23" t="n"/>
      <c r="F133" s="23" t="n"/>
      <c r="G133" s="23" t="inlineStr">
        <is>
          <t>MEDIUM</t>
        </is>
      </c>
      <c r="H133" s="23" t="inlineStr">
        <is>
          <t>derived</t>
        </is>
      </c>
      <c r="I133" s="24" t="inlineStr"/>
    </row>
    <row r="134">
      <c r="A134" s="23" t="inlineStr"/>
      <c r="B134" s="24" t="inlineStr">
        <is>
          <t>Ceiling Batten | G22</t>
        </is>
      </c>
      <c r="C134" s="25" t="n">
        <v>162</v>
      </c>
      <c r="D134" s="23" t="inlineStr">
        <is>
          <t>calculated</t>
        </is>
      </c>
      <c r="E134" s="23" t="n"/>
      <c r="F134" s="23" t="n"/>
      <c r="G134" s="23" t="inlineStr">
        <is>
          <t>MEDIUM</t>
        </is>
      </c>
      <c r="H134" s="23" t="inlineStr">
        <is>
          <t>derived</t>
        </is>
      </c>
      <c r="I134" s="24" t="inlineStr"/>
    </row>
    <row r="135">
      <c r="A135" s="23" t="inlineStr"/>
      <c r="B135" s="24" t="inlineStr">
        <is>
          <t>Fixing | FC Sheet Screw (Ceiling)</t>
        </is>
      </c>
      <c r="C135" s="25" t="n">
        <v>7</v>
      </c>
      <c r="D135" s="23" t="inlineStr">
        <is>
          <t>calculated</t>
        </is>
      </c>
      <c r="E135" s="23" t="n"/>
      <c r="F135" s="23" t="n"/>
      <c r="G135" s="23" t="inlineStr">
        <is>
          <t>LOW</t>
        </is>
      </c>
      <c r="H135" s="23" t="inlineStr">
        <is>
          <t>derived from ceiling_area=64.8</t>
        </is>
      </c>
      <c r="I135" s="24" t="inlineStr"/>
    </row>
    <row r="136">
      <c r="A136" s="23" t="inlineStr"/>
      <c r="B136" s="24" t="inlineStr">
        <is>
          <t>Verandah Soffit Lining — FC Sheet (6mm, 1200×2400)</t>
        </is>
      </c>
      <c r="C136" s="25" t="n">
        <v>8</v>
      </c>
      <c r="D136" s="23" t="inlineStr">
        <is>
          <t>calculated</t>
        </is>
      </c>
      <c r="E136" s="23" t="n"/>
      <c r="F136" s="23" t="n"/>
      <c r="G136" s="23" t="inlineStr">
        <is>
          <t>HIGH</t>
        </is>
      </c>
      <c r="H136" s="23" t="inlineStr">
        <is>
          <t>dxf_geometry</t>
        </is>
      </c>
      <c r="I136" s="24" t="inlineStr">
        <is>
          <t>Verandah soffit lining: 21.60 m² from DXF verandah polygon. Soffit area treated equal to verandah floor area. Verify from architectural drawings.</t>
        </is>
      </c>
    </row>
    <row r="137">
      <c r="A137" s="23" t="inlineStr"/>
      <c r="B137" s="24" t="inlineStr">
        <is>
          <t>Verandah Soffit Batten (LGS / timber)</t>
        </is>
      </c>
      <c r="C137" s="25" t="n">
        <v>54</v>
      </c>
      <c r="D137" s="23" t="inlineStr">
        <is>
          <t>calculated</t>
        </is>
      </c>
      <c r="E137" s="23" t="n"/>
      <c r="F137" s="23" t="n"/>
      <c r="G137" s="23" t="inlineStr">
        <is>
          <t>MEDIUM</t>
        </is>
      </c>
      <c r="H137" s="23" t="inlineStr">
        <is>
          <t>dxf_geometry</t>
        </is>
      </c>
      <c r="I137" s="24" t="inlineStr">
        <is>
          <t>Verandah soffit batten: 21.60 m² at 400 mm spacing = 54.0 lm.</t>
        </is>
      </c>
    </row>
    <row r="138">
      <c r="A138" s="23" t="inlineStr"/>
      <c r="B138" s="24" t="inlineStr">
        <is>
          <t>Timber Cornice | 25 x 25 x 2400mm Timber</t>
        </is>
      </c>
      <c r="C138" s="25" t="n">
        <v>38.4</v>
      </c>
      <c r="D138" s="23" t="inlineStr">
        <is>
          <t>calculated</t>
        </is>
      </c>
      <c r="E138" s="23" t="n"/>
      <c r="F138" s="23" t="n"/>
      <c r="G138" s="23" t="inlineStr">
        <is>
          <t>MEDIUM</t>
        </is>
      </c>
      <c r="H138" s="23" t="inlineStr">
        <is>
          <t>dxf_geometry</t>
        </is>
      </c>
      <c r="I138" s="24" t="inlineStr">
        <is>
          <t>Assumes cornice on external walls only. Add int_wall_lm if cornice on internal walls too.</t>
        </is>
      </c>
    </row>
    <row r="139" ht="18" customHeight="1">
      <c r="A139" s="3" t="inlineStr">
        <is>
          <t>50117 - Services (Hydraulics — Partial)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11" t="inlineStr"/>
      <c r="B140" s="12" t="inlineStr">
        <is>
          <t>Hydraulics | Hand Basin</t>
        </is>
      </c>
      <c r="C140" s="13" t="n">
        <v>1</v>
      </c>
      <c r="D140" s="11" t="inlineStr">
        <is>
          <t>inferred</t>
        </is>
      </c>
      <c r="E140" s="11" t="n"/>
      <c r="F140" s="11" t="n"/>
      <c r="G140" s="11" t="inlineStr">
        <is>
          <t>LOW</t>
        </is>
      </c>
      <c r="H140" s="11" t="inlineStr">
        <is>
          <t>room_schedule</t>
        </is>
      </c>
      <c r="I140" s="12" t="inlineStr">
        <is>
          <t>MANUAL REVIEW REQUIRED. Inferred from room type 'pharmacy'.</t>
        </is>
      </c>
    </row>
    <row r="141">
      <c r="A141" s="11" t="inlineStr"/>
      <c r="B141" s="12" t="inlineStr">
        <is>
          <t>Hydraulics | Tapware</t>
        </is>
      </c>
      <c r="C141" s="13" t="n">
        <v>1</v>
      </c>
      <c r="D141" s="11" t="inlineStr">
        <is>
          <t>inferred</t>
        </is>
      </c>
      <c r="E141" s="11" t="n"/>
      <c r="F141" s="11" t="n"/>
      <c r="G141" s="11" t="inlineStr">
        <is>
          <t>LOW</t>
        </is>
      </c>
      <c r="H141" s="11" t="inlineStr">
        <is>
          <t>room_schedule</t>
        </is>
      </c>
      <c r="I141" s="12" t="inlineStr">
        <is>
          <t>MANUAL REVIEW REQUIRED. Inferred from room type 'pharmacy'.</t>
        </is>
      </c>
    </row>
    <row r="142">
      <c r="A142" s="11" t="inlineStr"/>
      <c r="B142" s="12" t="inlineStr">
        <is>
          <t>Services | Cold Room / Refrigeration (PLACEHOLDER)</t>
        </is>
      </c>
      <c r="C142" s="13" t="n">
        <v>1</v>
      </c>
      <c r="D142" s="11" t="inlineStr">
        <is>
          <t>inferred</t>
        </is>
      </c>
      <c r="E142" s="11" t="n"/>
      <c r="F142" s="11" t="n"/>
      <c r="G142" s="11" t="inlineStr">
        <is>
          <t>LOW</t>
        </is>
      </c>
      <c r="H142" s="11" t="inlineStr">
        <is>
          <t>room_schedule</t>
        </is>
      </c>
      <c r="I142" s="12" t="inlineStr">
        <is>
          <t>MANUAL REVIEW REQUIRED. Inferred from room type 'pharmacy'.</t>
        </is>
      </c>
    </row>
    <row r="143">
      <c r="A143" s="11" t="inlineStr"/>
      <c r="B143" s="12" t="inlineStr">
        <is>
          <t>Services | Builder's Works, Electrical</t>
        </is>
      </c>
      <c r="C143" s="13" t="n">
        <v>1</v>
      </c>
      <c r="D143" s="11" t="inlineStr">
        <is>
          <t>inferred</t>
        </is>
      </c>
      <c r="E143" s="11" t="n"/>
      <c r="F143" s="11" t="n"/>
      <c r="G143" s="11" t="inlineStr">
        <is>
          <t>LOW</t>
        </is>
      </c>
      <c r="H143" s="11" t="inlineStr">
        <is>
          <t>room_schedule</t>
        </is>
      </c>
      <c r="I143" s="12" t="inlineStr">
        <is>
          <t>MANUAL REVIEW REQUIRED. Inferred from room type 'pharmacy'.</t>
        </is>
      </c>
    </row>
    <row r="144">
      <c r="A144" s="11" t="inlineStr"/>
      <c r="B144" s="12" t="inlineStr">
        <is>
          <t>Services | Builder's Works, Services</t>
        </is>
      </c>
      <c r="C144" s="13" t="n">
        <v>1</v>
      </c>
      <c r="D144" s="11" t="inlineStr">
        <is>
          <t>inferred</t>
        </is>
      </c>
      <c r="E144" s="11" t="n"/>
      <c r="F144" s="11" t="n"/>
      <c r="G144" s="11" t="inlineStr">
        <is>
          <t>LOW</t>
        </is>
      </c>
      <c r="H144" s="11" t="inlineStr">
        <is>
          <t>room_schedule</t>
        </is>
      </c>
      <c r="I144" s="12" t="inlineStr">
        <is>
          <t>MANUAL REVIEW REQUIRED. Inferred from room type 'waiting'.</t>
        </is>
      </c>
    </row>
    <row r="145">
      <c r="A145" s="11" t="inlineStr"/>
      <c r="B145" s="12" t="inlineStr">
        <is>
          <t>Hydraulics | Hand Basin</t>
        </is>
      </c>
      <c r="C145" s="13" t="n">
        <v>1</v>
      </c>
      <c r="D145" s="11" t="inlineStr">
        <is>
          <t>inferred</t>
        </is>
      </c>
      <c r="E145" s="11" t="n"/>
      <c r="F145" s="11" t="n"/>
      <c r="G145" s="11" t="inlineStr">
        <is>
          <t>LOW</t>
        </is>
      </c>
      <c r="H145" s="11" t="inlineStr">
        <is>
          <t>room_schedule</t>
        </is>
      </c>
      <c r="I145" s="12" t="inlineStr">
        <is>
          <t>MANUAL REVIEW REQUIRED. Inferred from room type 'consulting'.</t>
        </is>
      </c>
    </row>
    <row r="146">
      <c r="A146" s="11" t="inlineStr"/>
      <c r="B146" s="12" t="inlineStr">
        <is>
          <t>Hydraulics | Tapware</t>
        </is>
      </c>
      <c r="C146" s="13" t="n">
        <v>1</v>
      </c>
      <c r="D146" s="11" t="inlineStr">
        <is>
          <t>inferred</t>
        </is>
      </c>
      <c r="E146" s="11" t="n"/>
      <c r="F146" s="11" t="n"/>
      <c r="G146" s="11" t="inlineStr">
        <is>
          <t>LOW</t>
        </is>
      </c>
      <c r="H146" s="11" t="inlineStr">
        <is>
          <t>room_schedule</t>
        </is>
      </c>
      <c r="I146" s="12" t="inlineStr">
        <is>
          <t>MANUAL REVIEW REQUIRED. Inferred from room type 'consulting'.</t>
        </is>
      </c>
    </row>
    <row r="147">
      <c r="A147" s="11" t="inlineStr"/>
      <c r="B147" s="12" t="inlineStr">
        <is>
          <t>Hydraulics | Builder's Works (Plumbing)</t>
        </is>
      </c>
      <c r="C147" s="13" t="n">
        <v>1</v>
      </c>
      <c r="D147" s="11" t="inlineStr">
        <is>
          <t>inferred</t>
        </is>
      </c>
      <c r="E147" s="11" t="n"/>
      <c r="F147" s="11" t="n"/>
      <c r="G147" s="11" t="inlineStr">
        <is>
          <t>LOW</t>
        </is>
      </c>
      <c r="H147" s="11" t="inlineStr">
        <is>
          <t>room_schedule</t>
        </is>
      </c>
      <c r="I147" s="12" t="inlineStr">
        <is>
          <t>MANUAL REVIEW REQUIRED. Inferred from room type 'consulting'.</t>
        </is>
      </c>
    </row>
    <row r="148">
      <c r="A148" s="11" t="inlineStr"/>
      <c r="B148" s="12" t="inlineStr">
        <is>
          <t>Services | Builder's Works, Electrical</t>
        </is>
      </c>
      <c r="C148" s="13" t="n">
        <v>1</v>
      </c>
      <c r="D148" s="11" t="inlineStr">
        <is>
          <t>inferred</t>
        </is>
      </c>
      <c r="E148" s="11" t="n"/>
      <c r="F148" s="11" t="n"/>
      <c r="G148" s="11" t="inlineStr">
        <is>
          <t>LOW</t>
        </is>
      </c>
      <c r="H148" s="11" t="inlineStr">
        <is>
          <t>room_schedule</t>
        </is>
      </c>
      <c r="I148" s="12" t="inlineStr">
        <is>
          <t>MANUAL REVIEW REQUIRED. Inferred from room type 'office'.</t>
        </is>
      </c>
    </row>
    <row r="149">
      <c r="A149" s="11" t="inlineStr"/>
      <c r="B149" s="12" t="inlineStr">
        <is>
          <t>Hydraulics | WC Pan (close-coupled)</t>
        </is>
      </c>
      <c r="C149" s="13" t="n">
        <v>1</v>
      </c>
      <c r="D149" s="11" t="inlineStr">
        <is>
          <t>inferred</t>
        </is>
      </c>
      <c r="E149" s="11" t="n"/>
      <c r="F149" s="11" t="n"/>
      <c r="G149" s="11" t="inlineStr">
        <is>
          <t>MEDIUM</t>
        </is>
      </c>
      <c r="H149" s="11" t="inlineStr">
        <is>
          <t>room_schedule</t>
        </is>
      </c>
      <c r="I149" s="12" t="inlineStr">
        <is>
          <t>MANUAL REVIEW REQUIRED. Inferred from room type 'toilet'.</t>
        </is>
      </c>
    </row>
    <row r="150">
      <c r="A150" s="11" t="inlineStr"/>
      <c r="B150" s="12" t="inlineStr">
        <is>
          <t>Hydraulics | WC Cistern</t>
        </is>
      </c>
      <c r="C150" s="13" t="n">
        <v>1</v>
      </c>
      <c r="D150" s="11" t="inlineStr">
        <is>
          <t>inferred</t>
        </is>
      </c>
      <c r="E150" s="11" t="n"/>
      <c r="F150" s="11" t="n"/>
      <c r="G150" s="11" t="inlineStr">
        <is>
          <t>MEDIUM</t>
        </is>
      </c>
      <c r="H150" s="11" t="inlineStr">
        <is>
          <t>room_schedule</t>
        </is>
      </c>
      <c r="I150" s="12" t="inlineStr">
        <is>
          <t>MANUAL REVIEW REQUIRED. Inferred from room type 'toilet'.</t>
        </is>
      </c>
    </row>
    <row r="151">
      <c r="A151" s="11" t="inlineStr"/>
      <c r="B151" s="12" t="inlineStr">
        <is>
          <t>Hydraulics | Hand Basin</t>
        </is>
      </c>
      <c r="C151" s="13" t="n">
        <v>1</v>
      </c>
      <c r="D151" s="11" t="inlineStr">
        <is>
          <t>inferred</t>
        </is>
      </c>
      <c r="E151" s="11" t="n"/>
      <c r="F151" s="11" t="n"/>
      <c r="G151" s="11" t="inlineStr">
        <is>
          <t>MEDIUM</t>
        </is>
      </c>
      <c r="H151" s="11" t="inlineStr">
        <is>
          <t>room_schedule</t>
        </is>
      </c>
      <c r="I151" s="12" t="inlineStr">
        <is>
          <t>MANUAL REVIEW REQUIRED. Inferred from room type 'toilet'.</t>
        </is>
      </c>
    </row>
    <row r="152">
      <c r="A152" s="11" t="inlineStr"/>
      <c r="B152" s="12" t="inlineStr">
        <is>
          <t>Hydraulics | Tapware</t>
        </is>
      </c>
      <c r="C152" s="13" t="n">
        <v>1</v>
      </c>
      <c r="D152" s="11" t="inlineStr">
        <is>
          <t>inferred</t>
        </is>
      </c>
      <c r="E152" s="11" t="n"/>
      <c r="F152" s="11" t="n"/>
      <c r="G152" s="11" t="inlineStr">
        <is>
          <t>MEDIUM</t>
        </is>
      </c>
      <c r="H152" s="11" t="inlineStr">
        <is>
          <t>room_schedule</t>
        </is>
      </c>
      <c r="I152" s="12" t="inlineStr">
        <is>
          <t>MANUAL REVIEW REQUIRED. Inferred from room type 'toilet'.</t>
        </is>
      </c>
    </row>
    <row r="153">
      <c r="A153" s="11" t="inlineStr"/>
      <c r="B153" s="12" t="inlineStr">
        <is>
          <t>FFE | Mirror</t>
        </is>
      </c>
      <c r="C153" s="13" t="n">
        <v>1</v>
      </c>
      <c r="D153" s="11" t="inlineStr">
        <is>
          <t>inferred</t>
        </is>
      </c>
      <c r="E153" s="11" t="n"/>
      <c r="F153" s="11" t="n"/>
      <c r="G153" s="11" t="inlineStr">
        <is>
          <t>LOW</t>
        </is>
      </c>
      <c r="H153" s="11" t="inlineStr">
        <is>
          <t>room_schedule</t>
        </is>
      </c>
      <c r="I153" s="12" t="inlineStr">
        <is>
          <t>MANUAL REVIEW REQUIRED. Inferred from room type 'toilet'.</t>
        </is>
      </c>
    </row>
    <row r="154">
      <c r="A154" s="11" t="inlineStr"/>
      <c r="B154" s="12" t="inlineStr">
        <is>
          <t>FFE | Toilet Roll Holder</t>
        </is>
      </c>
      <c r="C154" s="13" t="n">
        <v>1</v>
      </c>
      <c r="D154" s="11" t="inlineStr">
        <is>
          <t>inferred</t>
        </is>
      </c>
      <c r="E154" s="11" t="n"/>
      <c r="F154" s="11" t="n"/>
      <c r="G154" s="11" t="inlineStr">
        <is>
          <t>LOW</t>
        </is>
      </c>
      <c r="H154" s="11" t="inlineStr">
        <is>
          <t>room_schedule</t>
        </is>
      </c>
      <c r="I154" s="12" t="inlineStr">
        <is>
          <t>MANUAL REVIEW REQUIRED. Inferred from room type 'toilet'.</t>
        </is>
      </c>
    </row>
    <row r="155">
      <c r="A155" s="11" t="inlineStr"/>
      <c r="B155" s="12" t="inlineStr">
        <is>
          <t>FFE | Towel Rail</t>
        </is>
      </c>
      <c r="C155" s="13" t="n">
        <v>1</v>
      </c>
      <c r="D155" s="11" t="inlineStr">
        <is>
          <t>inferred</t>
        </is>
      </c>
      <c r="E155" s="11" t="n"/>
      <c r="F155" s="11" t="n"/>
      <c r="G155" s="11" t="inlineStr">
        <is>
          <t>LOW</t>
        </is>
      </c>
      <c r="H155" s="11" t="inlineStr">
        <is>
          <t>room_schedule</t>
        </is>
      </c>
      <c r="I155" s="12" t="inlineStr">
        <is>
          <t>MANUAL REVIEW REQUIRED. Inferred from room type 'toilet'.</t>
        </is>
      </c>
    </row>
    <row r="156">
      <c r="A156" s="11" t="inlineStr"/>
      <c r="B156" s="12" t="inlineStr">
        <is>
          <t>Hydraulics | Floor Waste</t>
        </is>
      </c>
      <c r="C156" s="13" t="n">
        <v>1</v>
      </c>
      <c r="D156" s="11" t="inlineStr">
        <is>
          <t>inferred</t>
        </is>
      </c>
      <c r="E156" s="11" t="n"/>
      <c r="F156" s="11" t="n"/>
      <c r="G156" s="11" t="inlineStr">
        <is>
          <t>MEDIUM</t>
        </is>
      </c>
      <c r="H156" s="11" t="inlineStr">
        <is>
          <t>room_schedule</t>
        </is>
      </c>
      <c r="I156" s="12" t="inlineStr">
        <is>
          <t>MANUAL REVIEW REQUIRED. Inferred from room type 'toilet'.</t>
        </is>
      </c>
    </row>
    <row r="157">
      <c r="A157" s="11" t="inlineStr"/>
      <c r="B157" s="12" t="inlineStr">
        <is>
          <t>Hydraulics | Builder's Works (Plumbing)</t>
        </is>
      </c>
      <c r="C157" s="13" t="n">
        <v>1</v>
      </c>
      <c r="D157" s="11" t="inlineStr">
        <is>
          <t>inferred</t>
        </is>
      </c>
      <c r="E157" s="11" t="n"/>
      <c r="F157" s="11" t="n"/>
      <c r="G157" s="11" t="inlineStr">
        <is>
          <t>MEDIUM</t>
        </is>
      </c>
      <c r="H157" s="11" t="inlineStr">
        <is>
          <t>room_schedule</t>
        </is>
      </c>
      <c r="I157" s="12" t="inlineStr">
        <is>
          <t>MANUAL REVIEW REQUIRED. Inferred from room type 'toilet'.</t>
        </is>
      </c>
    </row>
    <row r="158">
      <c r="A158" s="11" t="inlineStr"/>
      <c r="B158" s="12" t="inlineStr">
        <is>
          <t>Hydraulics | WC Pan</t>
        </is>
      </c>
      <c r="C158" s="13" t="n">
        <v>15.3</v>
      </c>
      <c r="D158" s="11" t="inlineStr">
        <is>
          <t>inferred</t>
        </is>
      </c>
      <c r="E158" s="11" t="n"/>
      <c r="F158" s="11" t="n"/>
      <c r="G158" s="11" t="inlineStr">
        <is>
          <t>LOW</t>
        </is>
      </c>
      <c r="H158" s="11" t="inlineStr">
        <is>
          <t>room</t>
        </is>
      </c>
      <c r="I158" s="12" t="inlineStr">
        <is>
          <t>MANUAL REVIEW REQUIRED. Inferred: perimeter (8.5 m) × 1800 mm splash-zone height. No finish schedule in source documents. Verify tile type, height, and area from architectural drawings. Deduct openings.</t>
        </is>
      </c>
    </row>
    <row r="159">
      <c r="A159" s="11" t="inlineStr"/>
      <c r="B159" s="12" t="inlineStr">
        <is>
          <t>Hydraulics | Wet Area Waterproofing Membrane</t>
        </is>
      </c>
      <c r="C159" s="13" t="n">
        <v>5.78</v>
      </c>
      <c r="D159" s="11" t="inlineStr">
        <is>
          <t>inferred</t>
        </is>
      </c>
      <c r="E159" s="11" t="n"/>
      <c r="F159" s="11" t="n"/>
      <c r="G159" s="11" t="inlineStr">
        <is>
          <t>MEDIUM</t>
        </is>
      </c>
      <c r="H159" s="11" t="inlineStr">
        <is>
          <t>room</t>
        </is>
      </c>
      <c r="I159" s="12" t="inlineStr">
        <is>
          <t>MANUAL REVIEW REQUIRED. Waterproofing: floor area + 150 mm upstand on walls for Toilet. Verify room dimensions and upstand height from architectural drawings.</t>
        </is>
      </c>
    </row>
    <row r="160">
      <c r="A160" s="11" t="inlineStr"/>
      <c r="B160" s="12" t="inlineStr">
        <is>
          <t>Services | Builder's Works, Services</t>
        </is>
      </c>
      <c r="C160" s="13" t="n">
        <v>1</v>
      </c>
      <c r="D160" s="11" t="inlineStr">
        <is>
          <t>inferred</t>
        </is>
      </c>
      <c r="E160" s="11" t="n"/>
      <c r="F160" s="11" t="n"/>
      <c r="G160" s="11" t="inlineStr">
        <is>
          <t>LOW</t>
        </is>
      </c>
      <c r="H160" s="11" t="inlineStr">
        <is>
          <t>room_schedule</t>
        </is>
      </c>
      <c r="I160" s="12" t="inlineStr">
        <is>
          <t>MANUAL REVIEW REQUIRED. Inferred from room type 'store'.</t>
        </is>
      </c>
    </row>
    <row r="161">
      <c r="A161" s="11" t="inlineStr"/>
      <c r="B161" s="12" t="inlineStr">
        <is>
          <t>Services | Air Conditioning / Mechanical (PLACEHOLDER)</t>
        </is>
      </c>
      <c r="C161" s="13" t="n">
        <v>0</v>
      </c>
      <c r="D161" s="11" t="inlineStr">
        <is>
          <t>placeholder</t>
        </is>
      </c>
      <c r="E161" s="11" t="n"/>
      <c r="F161" s="11" t="n"/>
      <c r="G161" s="11" t="inlineStr">
        <is>
          <t>LOW</t>
        </is>
      </c>
      <c r="H161" s="11" t="inlineStr">
        <is>
          <t>building_type=pharmacy</t>
        </is>
      </c>
      <c r="I161" s="12" t="inlineStr">
        <is>
          <t>MANUAL REVIEW REQUIRED. PLACEHOLDER. Commercial building in tropical climate likely requires split-system or cassette AC units. No mechanical schedule or equipment schedule in source documents. Obtain from mechanical engineer or building services consultant. Include: outdoor units, indoor units, refrigerant pipework, electrical supply, condensate drainage, ceiling penetrations.</t>
        </is>
      </c>
    </row>
    <row r="162">
      <c r="A162" s="11" t="inlineStr"/>
      <c r="B162" s="12" t="inlineStr">
        <is>
          <t>Electrical | Exhaust Fan</t>
        </is>
      </c>
      <c r="C162" s="13" t="n">
        <v>0</v>
      </c>
      <c r="D162" s="11" t="inlineStr">
        <is>
          <t>placeholder</t>
        </is>
      </c>
      <c r="E162" s="11" t="n"/>
      <c r="F162" s="11" t="n"/>
      <c r="G162" s="11" t="inlineStr">
        <is>
          <t>LOW</t>
        </is>
      </c>
      <c r="H162" s="11" t="inlineStr">
        <is>
          <t>building_type=pharmacy</t>
        </is>
      </c>
      <c r="I162" s="12" t="inlineStr">
        <is>
          <t>MANUAL REVIEW REQUIRED. PLACEHOLDER. BCA F4.6 requires mechanical exhaust in rooms without openable windows. Confirm exhaust fan type, ducting, and external discharge location from architectural drawings.</t>
        </is>
      </c>
    </row>
    <row r="163">
      <c r="A163" s="11" t="inlineStr"/>
      <c r="B163" s="12" t="inlineStr">
        <is>
          <t>Electrical | Main Switchboard / Distribution Board</t>
        </is>
      </c>
      <c r="C163" s="13" t="n">
        <v>1</v>
      </c>
      <c r="D163" s="11" t="inlineStr">
        <is>
          <t>inferred</t>
        </is>
      </c>
      <c r="E163" s="11" t="n"/>
      <c r="F163" s="11" t="n"/>
      <c r="G163" s="11" t="inlineStr">
        <is>
          <t>LOW</t>
        </is>
      </c>
      <c r="H163" s="11" t="inlineStr">
        <is>
          <t>floor_area=86.40 m² (building-</t>
        </is>
      </c>
      <c r="I163" s="12" t="inlineStr">
        <is>
          <t>MANUAL REVIEW REQUIRED. 1 per building; adjust for sub-boards</t>
        </is>
      </c>
    </row>
    <row r="164">
      <c r="A164" s="11" t="inlineStr"/>
      <c r="B164" s="12" t="inlineStr">
        <is>
          <t>Hydraulics | Main Water Meter / Stopcock</t>
        </is>
      </c>
      <c r="C164" s="13" t="n">
        <v>1</v>
      </c>
      <c r="D164" s="11" t="inlineStr">
        <is>
          <t>inferred</t>
        </is>
      </c>
      <c r="E164" s="11" t="n"/>
      <c r="F164" s="11" t="n"/>
      <c r="G164" s="11" t="inlineStr">
        <is>
          <t>LOW</t>
        </is>
      </c>
      <c r="H164" s="11" t="inlineStr">
        <is>
          <t>floor_area=86.40 m² (building-</t>
        </is>
      </c>
      <c r="I164" s="12" t="inlineStr">
        <is>
          <t>MANUAL REVIEW REQUIRED. Whole-building service allowance.</t>
        </is>
      </c>
    </row>
    <row r="165">
      <c r="A165" s="11" t="inlineStr"/>
      <c r="B165" s="12" t="inlineStr">
        <is>
          <t>Hydraulics | Hot Water System</t>
        </is>
      </c>
      <c r="C165" s="13" t="n">
        <v>1</v>
      </c>
      <c r="D165" s="11" t="inlineStr">
        <is>
          <t>inferred</t>
        </is>
      </c>
      <c r="E165" s="11" t="n"/>
      <c r="F165" s="11" t="n"/>
      <c r="G165" s="11" t="inlineStr">
        <is>
          <t>LOW</t>
        </is>
      </c>
      <c r="H165" s="11" t="inlineStr">
        <is>
          <t>floor_area=86.40 m² (building-</t>
        </is>
      </c>
      <c r="I165" s="12" t="inlineStr">
        <is>
          <t>MANUAL REVIEW REQUIRED. only if not allocated to individual rooms</t>
        </is>
      </c>
    </row>
    <row r="166">
      <c r="A166" s="11" t="inlineStr"/>
      <c r="B166" s="12" t="inlineStr">
        <is>
          <t>Electrical | Smoke Detector</t>
        </is>
      </c>
      <c r="C166" s="13" t="n">
        <v>3</v>
      </c>
      <c r="D166" s="11" t="inlineStr">
        <is>
          <t>inferred</t>
        </is>
      </c>
      <c r="E166" s="11" t="n"/>
      <c r="F166" s="11" t="n"/>
      <c r="G166" s="11" t="inlineStr">
        <is>
          <t>LOW</t>
        </is>
      </c>
      <c r="H166" s="11" t="inlineStr">
        <is>
          <t>floor_area=86.40 m² (building-</t>
        </is>
      </c>
      <c r="I166" s="12" t="inlineStr">
        <is>
          <t>MANUAL REVIEW REQUIRED. 1 per 40 m² floor area (indicative)</t>
        </is>
      </c>
    </row>
    <row r="167" ht="18" customHeight="1">
      <c r="A167" s="3" t="inlineStr">
        <is>
          <t>50118 - Insulation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26" t="inlineStr"/>
      <c r="B168" s="27" t="inlineStr">
        <is>
          <t>Insulation | Glasswool Batts, Roof / Ceiling</t>
        </is>
      </c>
      <c r="C168" s="28" t="n">
        <v>106.6</v>
      </c>
      <c r="D168" s="26" t="inlineStr">
        <is>
          <t>calculated</t>
        </is>
      </c>
      <c r="E168" s="26" t="n"/>
      <c r="F168" s="26" t="n"/>
      <c r="G168" s="26" t="inlineStr">
        <is>
          <t>HIGH</t>
        </is>
      </c>
      <c r="H168" s="26" t="inlineStr">
        <is>
          <t>dxf_geometry</t>
        </is>
      </c>
      <c r="I168" s="27" t="inlineStr"/>
    </row>
    <row r="169">
      <c r="A169" s="26" t="inlineStr"/>
      <c r="B169" s="27" t="inlineStr">
        <is>
          <t>Insulation | Glasswool Batts, External Wall</t>
        </is>
      </c>
      <c r="C169" s="28" t="n">
        <v>92.16</v>
      </c>
      <c r="D169" s="26" t="inlineStr">
        <is>
          <t>calculated</t>
        </is>
      </c>
      <c r="E169" s="26" t="n"/>
      <c r="F169" s="26" t="n"/>
      <c r="G169" s="26" t="inlineStr">
        <is>
          <t>MEDIUM</t>
        </is>
      </c>
      <c r="H169" s="26" t="inlineStr">
        <is>
          <t>dxf_geometry</t>
        </is>
      </c>
      <c r="I169" s="27" t="inlineStr">
        <is>
          <t>Gross wall area; deduct large openings if required.</t>
        </is>
      </c>
    </row>
    <row r="170" ht="18" customHeight="1">
      <c r="A170" s="3" t="inlineStr">
        <is>
          <t>50124 - Stairs &amp; Balustrades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11" t="inlineStr"/>
      <c r="B171" s="12" t="inlineStr">
        <is>
          <t>Stair | Stringer</t>
        </is>
      </c>
      <c r="C171" s="13" t="n">
        <v>1</v>
      </c>
      <c r="D171" s="11" t="inlineStr">
        <is>
          <t>inferred</t>
        </is>
      </c>
      <c r="E171" s="11" t="n"/>
      <c r="F171" s="11" t="n"/>
      <c r="G171" s="11" t="inlineStr">
        <is>
          <t>LOW</t>
        </is>
      </c>
      <c r="H171" s="11" t="inlineStr">
        <is>
          <t>project_config</t>
        </is>
      </c>
      <c r="I171" s="12" t="inlineStr">
        <is>
          <t>MANUAL REVIEW REQUIRED. Entry stair — riser count estimated from raised floor height (~525mm). Verify from architectural drawings.</t>
        </is>
      </c>
    </row>
    <row r="172">
      <c r="A172" s="11" t="inlineStr"/>
      <c r="B172" s="12" t="inlineStr">
        <is>
          <t>Stair | Tread</t>
        </is>
      </c>
      <c r="C172" s="13" t="n">
        <v>3</v>
      </c>
      <c r="D172" s="11" t="inlineStr">
        <is>
          <t>inferred</t>
        </is>
      </c>
      <c r="E172" s="11" t="n"/>
      <c r="F172" s="11" t="n"/>
      <c r="G172" s="11" t="inlineStr">
        <is>
          <t>LOW</t>
        </is>
      </c>
      <c r="H172" s="11" t="inlineStr">
        <is>
          <t>project_config</t>
        </is>
      </c>
      <c r="I172" s="12" t="inlineStr">
        <is>
          <t>MANUAL REVIEW REQUIRED.</t>
        </is>
      </c>
    </row>
    <row r="173">
      <c r="A173" s="29" t="inlineStr"/>
      <c r="B173" s="30" t="inlineStr">
        <is>
          <t>Stair | Component</t>
        </is>
      </c>
      <c r="C173" s="31" t="n">
        <v>2</v>
      </c>
      <c r="D173" s="29" t="inlineStr">
        <is>
          <t>calculated</t>
        </is>
      </c>
      <c r="E173" s="29" t="n"/>
      <c r="F173" s="29" t="n"/>
      <c r="G173" s="29" t="inlineStr">
        <is>
          <t>MEDIUM</t>
        </is>
      </c>
      <c r="H173" s="29" t="inlineStr">
        <is>
          <t>project_config</t>
        </is>
      </c>
      <c r="I173" s="30" t="inlineStr">
        <is>
          <t>1 newel post at top and bottom of each flight.</t>
        </is>
      </c>
    </row>
    <row r="174">
      <c r="A174" s="11" t="inlineStr"/>
      <c r="B174" s="12" t="inlineStr">
        <is>
          <t>Balustrade | Assembly</t>
        </is>
      </c>
      <c r="C174" s="13" t="n">
        <v>0.75</v>
      </c>
      <c r="D174" s="11" t="inlineStr">
        <is>
          <t>calculated</t>
        </is>
      </c>
      <c r="E174" s="11" t="n"/>
      <c r="F174" s="11" t="n"/>
      <c r="G174" s="11" t="inlineStr">
        <is>
          <t>LOW</t>
        </is>
      </c>
      <c r="H174" s="11" t="inlineStr">
        <is>
          <t>project_config</t>
        </is>
      </c>
      <c r="I174" s="12" t="inlineStr">
        <is>
          <t>MANUAL REVIEW REQUIRED. Verify length from architectural drawings.</t>
        </is>
      </c>
    </row>
    <row r="175">
      <c r="A175" s="11" t="inlineStr"/>
      <c r="B175" s="12" t="inlineStr">
        <is>
          <t>Balustrade | Post</t>
        </is>
      </c>
      <c r="C175" s="13" t="n">
        <v>1</v>
      </c>
      <c r="D175" s="11" t="inlineStr">
        <is>
          <t>calculated</t>
        </is>
      </c>
      <c r="E175" s="11" t="n"/>
      <c r="F175" s="11" t="n"/>
      <c r="G175" s="11" t="inlineStr">
        <is>
          <t>LOW</t>
        </is>
      </c>
      <c r="H175" s="11" t="inlineStr">
        <is>
          <t>project_config</t>
        </is>
      </c>
      <c r="I175" s="12" t="inlineStr">
        <is>
          <t>MANUAL REVIEW REQUIRED. 1 post per 1.2 m spacing. Verify from balustrade schedule.</t>
        </is>
      </c>
    </row>
    <row r="176">
      <c r="A176" s="11" t="inlineStr"/>
      <c r="B176" s="12" t="inlineStr">
        <is>
          <t>Balustrade | Assembly</t>
        </is>
      </c>
      <c r="C176" s="13" t="n">
        <v>0.75</v>
      </c>
      <c r="D176" s="11" t="inlineStr">
        <is>
          <t>inferred</t>
        </is>
      </c>
      <c r="E176" s="11" t="n"/>
      <c r="F176" s="11" t="n"/>
      <c r="G176" s="11" t="inlineStr">
        <is>
          <t>LOW</t>
        </is>
      </c>
      <c r="H176" s="11" t="inlineStr">
        <is>
          <t>project_config</t>
        </is>
      </c>
      <c r="I176" s="12" t="inlineStr">
        <is>
          <t>MANUAL REVIEW REQUIRED. Infill height assumed 1.0 m. Adjust for guard height requirement (≥1.0 m at &gt;1.0 m fall).</t>
        </is>
      </c>
    </row>
    <row r="177">
      <c r="A177" s="11" t="inlineStr"/>
      <c r="B177" s="12" t="inlineStr">
        <is>
          <t>Balustrade | Handrail</t>
        </is>
      </c>
      <c r="C177" s="13" t="n">
        <v>0.75</v>
      </c>
      <c r="D177" s="11" t="inlineStr">
        <is>
          <t>calculated</t>
        </is>
      </c>
      <c r="E177" s="11" t="n"/>
      <c r="F177" s="11" t="n"/>
      <c r="G177" s="11" t="inlineStr">
        <is>
          <t>LOW</t>
        </is>
      </c>
      <c r="H177" s="11" t="inlineStr">
        <is>
          <t>project_config</t>
        </is>
      </c>
      <c r="I177" s="12" t="inlineStr">
        <is>
          <t>MANUAL REVIEW REQUIRED. Verify handrail length. Continuous rail both sides of flight where required by code.</t>
        </is>
      </c>
    </row>
    <row r="178">
      <c r="A178" s="11" t="inlineStr"/>
      <c r="B178" s="12" t="inlineStr">
        <is>
          <t>Access Ramp | Surface, Concrete / Non-slip</t>
        </is>
      </c>
      <c r="C178" s="13" t="n">
        <v>8.82</v>
      </c>
      <c r="D178" s="11" t="inlineStr">
        <is>
          <t>inferred</t>
        </is>
      </c>
      <c r="E178" s="11" t="n"/>
      <c r="F178" s="11" t="n"/>
      <c r="G178" s="11" t="inlineStr">
        <is>
          <t>LOW</t>
        </is>
      </c>
      <c r="H178" s="11" t="inlineStr">
        <is>
          <t>derived from project_config</t>
        </is>
      </c>
      <c r="I178" s="12" t="inlineStr">
        <is>
          <t>MANUAL REVIEW REQUIRED. Access ramp: 1:14 gradient, stair: 3 risers × 175 mm = 525 mm → 7.35 m run × 1.2 m wide = 8.82 m². Verify need and exact dimensions from architectural drawings and BCA D3.3.</t>
        </is>
      </c>
    </row>
    <row r="179">
      <c r="A179" s="11" t="inlineStr"/>
      <c r="B179" s="12" t="inlineStr">
        <is>
          <t>Access Ramp | (type by design)</t>
        </is>
      </c>
      <c r="C179" s="13" t="n">
        <v>14.7</v>
      </c>
      <c r="D179" s="11" t="inlineStr">
        <is>
          <t>inferred</t>
        </is>
      </c>
      <c r="E179" s="11" t="n"/>
      <c r="F179" s="11" t="n"/>
      <c r="G179" s="11" t="inlineStr">
        <is>
          <t>LOW</t>
        </is>
      </c>
      <c r="H179" s="11" t="inlineStr">
        <is>
          <t>derived from ramp run</t>
        </is>
      </c>
      <c r="I179" s="12" t="inlineStr">
        <is>
          <t>MANUAL REVIEW REQUIRED. Continuous handrails both sides of ramp. Verify height and spec from architectural drawings.</t>
        </is>
      </c>
    </row>
    <row r="180">
      <c r="A180" s="11" t="inlineStr"/>
      <c r="B180" s="12" t="inlineStr">
        <is>
          <t>Access Ramp | Edge Kerb / Guard</t>
        </is>
      </c>
      <c r="C180" s="13" t="n">
        <v>14.7</v>
      </c>
      <c r="D180" s="11" t="inlineStr">
        <is>
          <t>inferred</t>
        </is>
      </c>
      <c r="E180" s="11" t="n"/>
      <c r="F180" s="11" t="n"/>
      <c r="G180" s="11" t="inlineStr">
        <is>
          <t>LOW</t>
        </is>
      </c>
      <c r="H180" s="11" t="inlineStr">
        <is>
          <t>derived from ramp run</t>
        </is>
      </c>
      <c r="I180" s="12" t="inlineStr">
        <is>
          <t>MANUAL REVIEW REQUIRED. Kerb guard (min 75 mm high) both sides. Verify from architectural drawings.</t>
        </is>
      </c>
    </row>
    <row r="181">
      <c r="A181" s="29" t="inlineStr"/>
      <c r="B181" s="30" t="inlineStr">
        <is>
          <t>Balustrade | Assembly</t>
        </is>
      </c>
      <c r="C181" s="31" t="n">
        <v>20.4</v>
      </c>
      <c r="D181" s="29" t="inlineStr">
        <is>
          <t>measured</t>
        </is>
      </c>
      <c r="E181" s="29" t="n"/>
      <c r="F181" s="29" t="n"/>
      <c r="G181" s="29" t="inlineStr">
        <is>
          <t>HIGH</t>
        </is>
      </c>
      <c r="H181" s="29" t="inlineStr">
        <is>
          <t>dxf_geometry</t>
        </is>
      </c>
      <c r="I181" s="30" t="inlineStr"/>
    </row>
    <row r="182">
      <c r="A182" s="29" t="inlineStr"/>
      <c r="B182" s="30" t="inlineStr">
        <is>
          <t>Balustrade | Handrail</t>
        </is>
      </c>
      <c r="C182" s="31" t="n">
        <v>20.4</v>
      </c>
      <c r="D182" s="29" t="inlineStr">
        <is>
          <t>calculated</t>
        </is>
      </c>
      <c r="E182" s="29" t="n"/>
      <c r="F182" s="29" t="n"/>
      <c r="G182" s="29" t="inlineStr">
        <is>
          <t>MEDIUM</t>
        </is>
      </c>
      <c r="H182" s="29" t="inlineStr">
        <is>
          <t>dxf_geometry</t>
        </is>
      </c>
      <c r="I182" s="30" t="inlineStr">
        <is>
          <t>Reduce if one side abuts building wall.</t>
        </is>
      </c>
    </row>
    <row r="183">
      <c r="A183" s="29" t="inlineStr"/>
      <c r="B183" s="30" t="inlineStr">
        <is>
          <t>Balustrade | Post</t>
        </is>
      </c>
      <c r="C183" s="31" t="n">
        <v>17</v>
      </c>
      <c r="D183" s="29" t="inlineStr">
        <is>
          <t>calculated</t>
        </is>
      </c>
      <c r="E183" s="29" t="n"/>
      <c r="F183" s="29" t="n"/>
      <c r="G183" s="29" t="inlineStr">
        <is>
          <t>LOW</t>
        </is>
      </c>
      <c r="H183" s="29" t="inlineStr">
        <is>
          <t>derived from verandah_perimete</t>
        </is>
      </c>
      <c r="I183" s="30" t="inlineStr"/>
    </row>
  </sheetData>
  <autoFilter ref="A2:I183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40" customWidth="1" min="4" max="4"/>
    <col width="40" customWidth="1" min="5" max="5"/>
    <col width="6" customWidth="1" min="6" max="6"/>
    <col width="10" customWidth="1" min="7" max="7"/>
    <col width="12" customWidth="1" min="8" max="8"/>
    <col width="30" customWidth="1" min="9" max="9"/>
    <col width="50" customWidth="1" min="10" max="10"/>
    <col width="50" customWidth="1" min="11" max="11"/>
    <col width="10" customWidth="1" min="12" max="12"/>
  </cols>
  <sheetData>
    <row r="1">
      <c r="A1" s="2" t="inlineStr">
        <is>
          <t>Item No</t>
        </is>
      </c>
      <c r="B1" s="2" t="inlineStr">
        <is>
          <t>Package Code</t>
        </is>
      </c>
      <c r="C1" s="2" t="inlineStr">
        <is>
          <t>Section (Final BOQ)</t>
        </is>
      </c>
      <c r="D1" s="2" t="inlineStr">
        <is>
          <t>Item Name (Original)</t>
        </is>
      </c>
      <c r="E1" s="2" t="inlineStr">
        <is>
          <t>Item Display Name</t>
        </is>
      </c>
      <c r="F1" s="2" t="inlineStr">
        <is>
          <t>Unit</t>
        </is>
      </c>
      <c r="G1" s="2" t="inlineStr">
        <is>
          <t>Qty</t>
        </is>
      </c>
      <c r="H1" s="2" t="inlineStr">
        <is>
          <t>Status</t>
        </is>
      </c>
      <c r="I1" s="2" t="inlineStr">
        <is>
          <t>Quantity Basis</t>
        </is>
      </c>
      <c r="J1" s="2" t="inlineStr">
        <is>
          <t>Source Evidence</t>
        </is>
      </c>
      <c r="K1" s="2" t="inlineStr">
        <is>
          <t>Derivation Rule</t>
        </is>
      </c>
      <c r="L1" s="2" t="inlineStr">
        <is>
          <t>Confidence</t>
        </is>
      </c>
    </row>
    <row r="2">
      <c r="A2" s="32" t="inlineStr">
        <is>
          <t>F01</t>
        </is>
      </c>
      <c r="B2" s="32" t="inlineStr">
        <is>
          <t>50106</t>
        </is>
      </c>
      <c r="C2" s="32" t="inlineStr">
        <is>
          <t>50106 - WPC (Timber)</t>
        </is>
      </c>
      <c r="D2" s="32" t="inlineStr">
        <is>
          <t>Skirting Board</t>
        </is>
      </c>
      <c r="E2" s="32" t="inlineStr">
        <is>
          <t>Timber Skirting | 25 x 75 x 2400mm Timber</t>
        </is>
      </c>
      <c r="F2" s="32" t="inlineStr">
        <is>
          <t>lm</t>
        </is>
      </c>
      <c r="G2" s="32" t="n">
        <v>88.3</v>
      </c>
      <c r="H2" s="32" t="inlineStr">
        <is>
          <t>calculated</t>
        </is>
      </c>
      <c r="I2" s="32" t="inlineStr">
        <is>
          <t>ext_wall_lm(38.4) + int_wall_lm×2(29.4×2) − door_gaps(0.92+8.00)</t>
        </is>
      </c>
      <c r="J2" s="32" t="inlineStr">
        <is>
          <t>ext_walls: 38.40 m [dxf_geometry]; int_walls: 29.40 m [dxf_geometry]</t>
        </is>
      </c>
      <c r="K2" s="32" t="inlineStr">
        <is>
          <t>ext_wall_perimeter + int_wall_lm × 2 − door_widths</t>
        </is>
      </c>
      <c r="L2" s="32" t="inlineStr">
        <is>
          <t>MEDIUM</t>
        </is>
      </c>
    </row>
    <row r="3">
      <c r="A3" s="32" t="inlineStr">
        <is>
          <t>F04</t>
        </is>
      </c>
      <c r="B3" s="32" t="inlineStr">
        <is>
          <t>50106</t>
        </is>
      </c>
      <c r="C3" s="32" t="inlineStr">
        <is>
          <t>50106 - WPC (Timber)</t>
        </is>
      </c>
      <c r="D3" s="32" t="inlineStr">
        <is>
          <t>Floor Finish — Dry Area (vinyl plank / screed)</t>
        </is>
      </c>
      <c r="E3" s="32" t="inlineStr">
        <is>
          <t>Floor Finish | (type by room)</t>
        </is>
      </c>
      <c r="F3" s="32" t="inlineStr">
        <is>
          <t>m2</t>
        </is>
      </c>
      <c r="G3" s="32" t="n">
        <v>60.3</v>
      </c>
      <c r="H3" s="32" t="inlineStr">
        <is>
          <t>calculated</t>
        </is>
      </c>
      <c r="I3" s="32" t="inlineStr">
        <is>
          <t>sum(dry room areas from room_schedule)</t>
        </is>
      </c>
      <c r="J3" s="32" t="inlineStr">
        <is>
          <t>config room_schedule: Dispensary, Waiting / Reception, Consultation Room, Staff Room, Storage = 60.30 m² (enclosed=64.80 m²)</t>
        </is>
      </c>
      <c r="K3" s="32" t="inlineStr">
        <is>
          <t>sum(room_area for non-wet rooms)</t>
        </is>
      </c>
      <c r="L3" s="32" t="inlineStr">
        <is>
          <t>MEDIUM</t>
        </is>
      </c>
    </row>
    <row r="4">
      <c r="A4" s="32" t="inlineStr">
        <is>
          <t>F05</t>
        </is>
      </c>
      <c r="B4" s="32" t="inlineStr">
        <is>
          <t>50106</t>
        </is>
      </c>
      <c r="C4" s="32" t="inlineStr">
        <is>
          <t>50106 - WPC (Timber)</t>
        </is>
      </c>
      <c r="D4" s="32" t="inlineStr">
        <is>
          <t>Floor Finish — Wet Area (ceramic tile)</t>
        </is>
      </c>
      <c r="E4" s="32" t="inlineStr">
        <is>
          <t>Floor Finish | (type by room)</t>
        </is>
      </c>
      <c r="F4" s="32" t="inlineStr">
        <is>
          <t>m2</t>
        </is>
      </c>
      <c r="G4" s="32" t="n">
        <v>4.5</v>
      </c>
      <c r="H4" s="32" t="inlineStr">
        <is>
          <t>calculated</t>
        </is>
      </c>
      <c r="I4" s="32" t="inlineStr">
        <is>
          <t>sum(wet room areas from room_schedule)</t>
        </is>
      </c>
      <c r="J4" s="32" t="inlineStr">
        <is>
          <t>config room_schedule: Toilet = 4.50 m²</t>
        </is>
      </c>
      <c r="K4" s="32" t="inlineStr">
        <is>
          <t>sum(room_area for wet rooms)</t>
        </is>
      </c>
      <c r="L4" s="32" t="inlineStr">
        <is>
          <t>MEDIUM</t>
        </is>
      </c>
    </row>
    <row r="5">
      <c r="A5" s="32" t="inlineStr">
        <is>
          <t>F06</t>
        </is>
      </c>
      <c r="B5" s="32" t="inlineStr">
        <is>
          <t>50106</t>
        </is>
      </c>
      <c r="C5" s="32" t="inlineStr">
        <is>
          <t>50106 - WPC (Timber)</t>
        </is>
      </c>
      <c r="D5" s="32" t="inlineStr">
        <is>
          <t>Paint — External</t>
        </is>
      </c>
      <c r="E5" s="32" t="inlineStr">
        <is>
          <t>Paint | External, two coats</t>
        </is>
      </c>
      <c r="F5" s="32" t="inlineStr">
        <is>
          <t>m2</t>
        </is>
      </c>
      <c r="G5" s="32" t="n">
        <v>92.16</v>
      </c>
      <c r="H5" s="32" t="inlineStr">
        <is>
          <t>calculated</t>
        </is>
      </c>
      <c r="I5" s="32" t="inlineStr">
        <is>
          <t>ext_wall_perimeter × wall_height</t>
        </is>
      </c>
      <c r="J5" s="32" t="inlineStr">
        <is>
          <t>dxf_geometry: ext_wall_lm=38.40 × h=2.4</t>
        </is>
      </c>
      <c r="K5" s="32" t="inlineStr">
        <is>
          <t>38.40 × 2.4</t>
        </is>
      </c>
      <c r="L5" s="32" t="inlineStr">
        <is>
          <t>MEDIUM</t>
        </is>
      </c>
    </row>
    <row r="6">
      <c r="A6" s="32" t="inlineStr">
        <is>
          <t>F07</t>
        </is>
      </c>
      <c r="B6" s="32" t="inlineStr">
        <is>
          <t>50106</t>
        </is>
      </c>
      <c r="C6" s="32" t="inlineStr">
        <is>
          <t>50106 - WPC (Timber)</t>
        </is>
      </c>
      <c r="D6" s="32" t="inlineStr">
        <is>
          <t>Paint — Internal</t>
        </is>
      </c>
      <c r="E6" s="32" t="inlineStr">
        <is>
          <t>Paint | Internal, two coats</t>
        </is>
      </c>
      <c r="F6" s="32" t="inlineStr">
        <is>
          <t>m2</t>
        </is>
      </c>
      <c r="G6" s="32" t="n">
        <v>205.92</v>
      </c>
      <c r="H6" s="32" t="inlineStr">
        <is>
          <t>calculated</t>
        </is>
      </c>
      <c r="I6" s="32" t="inlineStr">
        <is>
          <t>ceiling_area(64.80) + int_wall_both_faces(141.12)</t>
        </is>
      </c>
      <c r="J6" s="32" t="inlineStr">
        <is>
          <t>ceiling_area=64.80 m²; int_wall_lm=29.40 m × 2 faces [dxf_geometry]</t>
        </is>
      </c>
      <c r="K6" s="32" t="inlineStr">
        <is>
          <t>ceiling_area + sum(int_wall.area_m2)  [area_m2 = lm × h × 2 faces]</t>
        </is>
      </c>
      <c r="L6" s="32" t="inlineStr">
        <is>
          <t>MEDIUM</t>
        </is>
      </c>
    </row>
    <row r="7">
      <c r="A7" s="32" t="inlineStr">
        <is>
          <t>A01</t>
        </is>
      </c>
      <c r="B7" s="32" t="inlineStr">
        <is>
          <t>50107</t>
        </is>
      </c>
      <c r="C7" s="32" t="inlineStr">
        <is>
          <t>50107 - Structural &amp; Base Steel &amp; Footings</t>
        </is>
      </c>
      <c r="D7" s="32" t="inlineStr">
        <is>
          <t>Roof Panel Frame (purlin / roof panel 89S41)</t>
        </is>
      </c>
      <c r="E7" s="32" t="inlineStr">
        <is>
          <t>FrameCAD Roof Panel | LGS C89, 0.75BMT, G550, Z275</t>
        </is>
      </c>
      <c r="F7" s="32" t="inlineStr">
        <is>
          <t>lm</t>
        </is>
      </c>
      <c r="G7" s="32" t="n">
        <v>481.74</v>
      </c>
      <c r="H7" s="32" t="inlineStr">
        <is>
          <t>measured</t>
        </is>
      </c>
      <c r="I7" s="32" t="inlineStr">
        <is>
          <t>direct from framecad_bom</t>
        </is>
      </c>
      <c r="J7" s="32" t="inlineStr">
        <is>
          <t>framecad_bom: Tab Roof Panels</t>
        </is>
      </c>
      <c r="K7" s="32" t="inlineStr">
        <is>
          <t>direct from source</t>
        </is>
      </c>
      <c r="L7" s="32" t="inlineStr">
        <is>
          <t>HIGH</t>
        </is>
      </c>
    </row>
    <row r="8">
      <c r="A8" s="32" t="inlineStr">
        <is>
          <t>A02</t>
        </is>
      </c>
      <c r="B8" s="32" t="inlineStr">
        <is>
          <t>50107</t>
        </is>
      </c>
      <c r="C8" s="32" t="inlineStr">
        <is>
          <t>50107 - Structural &amp; Base Steel &amp; Footings</t>
        </is>
      </c>
      <c r="D8" s="32" t="inlineStr">
        <is>
          <t>Roof Truss Frame (truss chord + web 89S41)</t>
        </is>
      </c>
      <c r="E8" s="32" t="inlineStr">
        <is>
          <t>FrameCAD Roof Truss | LGS C89, 0.75BMT, G550, Z275</t>
        </is>
      </c>
      <c r="F8" s="32" t="inlineStr">
        <is>
          <t>lm</t>
        </is>
      </c>
      <c r="G8" s="32" t="n">
        <v>1634.29</v>
      </c>
      <c r="H8" s="32" t="inlineStr">
        <is>
          <t>measured</t>
        </is>
      </c>
      <c r="I8" s="32" t="inlineStr">
        <is>
          <t>direct from framecad_bom</t>
        </is>
      </c>
      <c r="J8" s="32" t="inlineStr">
        <is>
          <t>framecad_bom: Tab Roof Trusses</t>
        </is>
      </c>
      <c r="K8" s="32" t="inlineStr">
        <is>
          <t>direct from source</t>
        </is>
      </c>
      <c r="L8" s="32" t="inlineStr">
        <is>
          <t>HIGH</t>
        </is>
      </c>
    </row>
    <row r="9">
      <c r="A9" s="32" t="inlineStr">
        <is>
          <t>A03</t>
        </is>
      </c>
      <c r="B9" s="32" t="inlineStr">
        <is>
          <t>50107</t>
        </is>
      </c>
      <c r="C9" s="32" t="inlineStr">
        <is>
          <t>50107 - Structural &amp; Base Steel &amp; Footings</t>
        </is>
      </c>
      <c r="D9" s="32" t="inlineStr">
        <is>
          <t>Wall Frame — all wall members 89S41</t>
        </is>
      </c>
      <c r="E9" s="32" t="inlineStr">
        <is>
          <t>FrameCAD Wall Frame | LGS C89, all wall members</t>
        </is>
      </c>
      <c r="F9" s="32" t="inlineStr">
        <is>
          <t>lm</t>
        </is>
      </c>
      <c r="G9" s="32" t="n">
        <v>2250.69</v>
      </c>
      <c r="H9" s="32" t="inlineStr">
        <is>
          <t>measured</t>
        </is>
      </c>
      <c r="I9" s="32" t="inlineStr">
        <is>
          <t>direct from framecad_bom</t>
        </is>
      </c>
      <c r="J9" s="32" t="inlineStr">
        <is>
          <t>framecad_bom: Tab Wall Panels</t>
        </is>
      </c>
      <c r="K9" s="32" t="inlineStr">
        <is>
          <t>direct from source</t>
        </is>
      </c>
      <c r="L9" s="32" t="inlineStr">
        <is>
          <t>HIGH</t>
        </is>
      </c>
    </row>
    <row r="10">
      <c r="A10" s="32" t="inlineStr">
        <is>
          <t>A04</t>
        </is>
      </c>
      <c r="B10" s="32" t="inlineStr">
        <is>
          <t>50107</t>
        </is>
      </c>
      <c r="C10" s="32" t="inlineStr">
        <is>
          <t>50107 - Structural &amp; Base Steel &amp; Footings</t>
        </is>
      </c>
      <c r="D10" s="32" t="inlineStr">
        <is>
          <t>Wall Frame — lintel 150×32×0.95</t>
        </is>
      </c>
      <c r="E10" s="32" t="inlineStr">
        <is>
          <t>FrameCAD Lintel | LGS, lintel members</t>
        </is>
      </c>
      <c r="F10" s="32" t="inlineStr">
        <is>
          <t>lm</t>
        </is>
      </c>
      <c r="G10" s="32" t="n">
        <v>3.57</v>
      </c>
      <c r="H10" s="32" t="inlineStr">
        <is>
          <t>measured</t>
        </is>
      </c>
      <c r="I10" s="32" t="inlineStr">
        <is>
          <t>direct from framecad_bom</t>
        </is>
      </c>
      <c r="J10" s="32" t="inlineStr">
        <is>
          <t>framecad_bom: Lintel entries</t>
        </is>
      </c>
      <c r="K10" s="32" t="inlineStr">
        <is>
          <t>direct from source</t>
        </is>
      </c>
      <c r="L10" s="32" t="inlineStr">
        <is>
          <t>HIGH</t>
        </is>
      </c>
    </row>
    <row r="11">
      <c r="A11" s="32" t="inlineStr">
        <is>
          <t>A05</t>
        </is>
      </c>
      <c r="B11" s="32" t="inlineStr">
        <is>
          <t>50107</t>
        </is>
      </c>
      <c r="C11" s="32" t="inlineStr">
        <is>
          <t>50107 - Structural &amp; Base Steel &amp; Footings</t>
        </is>
      </c>
      <c r="D11" s="32" t="inlineStr">
        <is>
          <t>Wall Frame — diagonal strap 32×0.95</t>
        </is>
      </c>
      <c r="E11" s="32" t="inlineStr">
        <is>
          <t>FrameCAD Wall Strap | Diagonal strap brace</t>
        </is>
      </c>
      <c r="F11" s="32" t="inlineStr">
        <is>
          <t>lm</t>
        </is>
      </c>
      <c r="G11" s="32" t="n">
        <v>49.73</v>
      </c>
      <c r="H11" s="32" t="inlineStr">
        <is>
          <t>measured</t>
        </is>
      </c>
      <c r="I11" s="32" t="inlineStr">
        <is>
          <t>direct from framecad_bom</t>
        </is>
      </c>
      <c r="J11" s="32" t="inlineStr">
        <is>
          <t>framecad_bom: Strap entries</t>
        </is>
      </c>
      <c r="K11" s="32" t="inlineStr">
        <is>
          <t>direct from source</t>
        </is>
      </c>
      <c r="L11" s="32" t="inlineStr">
        <is>
          <t>HIGH</t>
        </is>
      </c>
    </row>
    <row r="12">
      <c r="A12" s="32" t="inlineStr">
        <is>
          <t>A06</t>
        </is>
      </c>
      <c r="B12" s="32" t="inlineStr">
        <is>
          <t>50107</t>
        </is>
      </c>
      <c r="C12" s="32" t="inlineStr">
        <is>
          <t>50107 - Structural &amp; Base Steel &amp; Footings</t>
        </is>
      </c>
      <c r="D12" s="32" t="inlineStr">
        <is>
          <t>Verandah Frame — 89S41</t>
        </is>
      </c>
      <c r="E12" s="32" t="inlineStr">
        <is>
          <t>External Works | Verandah Frame</t>
        </is>
      </c>
      <c r="F12" s="32" t="inlineStr">
        <is>
          <t>lm</t>
        </is>
      </c>
      <c r="G12" s="32" t="n">
        <v>69.91</v>
      </c>
      <c r="H12" s="32" t="inlineStr">
        <is>
          <t>measured</t>
        </is>
      </c>
      <c r="I12" s="32" t="inlineStr">
        <is>
          <t>direct from ifc_model</t>
        </is>
      </c>
      <c r="J12" s="32" t="inlineStr">
        <is>
          <t>ifc_model: V1/verandah members</t>
        </is>
      </c>
      <c r="K12" s="32" t="inlineStr">
        <is>
          <t>direct from source</t>
        </is>
      </c>
      <c r="L12" s="32" t="inlineStr">
        <is>
          <t>HIGH</t>
        </is>
      </c>
    </row>
    <row r="13">
      <c r="A13" s="32" t="inlineStr">
        <is>
          <t>A07</t>
        </is>
      </c>
      <c r="B13" s="32" t="inlineStr">
        <is>
          <t>50107</t>
        </is>
      </c>
      <c r="C13" s="32" t="inlineStr">
        <is>
          <t>50107 - Structural &amp; Base Steel &amp; Footings</t>
        </is>
      </c>
      <c r="D13" s="32" t="inlineStr">
        <is>
          <t>Structural Steel Post (75×75×4 SHS)</t>
        </is>
      </c>
      <c r="E13" s="32" t="inlineStr">
        <is>
          <t>Steel Post | 75 x 4mm SHS, Q345, HDG600</t>
        </is>
      </c>
      <c r="F13" s="32" t="inlineStr">
        <is>
          <t>lm</t>
        </is>
      </c>
      <c r="G13" s="32" t="n">
        <v>96.69</v>
      </c>
      <c r="H13" s="32" t="inlineStr">
        <is>
          <t>measured</t>
        </is>
      </c>
      <c r="I13" s="32" t="inlineStr">
        <is>
          <t>direct from ifc_model</t>
        </is>
      </c>
      <c r="J13" s="32" t="inlineStr">
        <is>
          <t>ifc_model: SHS steel</t>
        </is>
      </c>
      <c r="K13" s="32" t="inlineStr">
        <is>
          <t>direct from source</t>
        </is>
      </c>
      <c r="L13" s="32" t="inlineStr">
        <is>
          <t>HIGH</t>
        </is>
      </c>
    </row>
    <row r="14">
      <c r="A14" s="32" t="inlineStr">
        <is>
          <t>A08</t>
        </is>
      </c>
      <c r="B14" s="32" t="inlineStr">
        <is>
          <t>50107</t>
        </is>
      </c>
      <c r="C14" s="32" t="inlineStr">
        <is>
          <t>50107 - Structural &amp; Base Steel &amp; Footings</t>
        </is>
      </c>
      <c r="D14" s="32" t="inlineStr">
        <is>
          <t>Roof Battens (FRAMECAD BATTEN — all zones)</t>
        </is>
      </c>
      <c r="E14" s="32" t="inlineStr">
        <is>
          <t>Roof Batten | 41mm Top Hat, G550, Z275</t>
        </is>
      </c>
      <c r="F14" s="32" t="inlineStr">
        <is>
          <t>lm</t>
        </is>
      </c>
      <c r="G14" s="32" t="n">
        <v>1385.3</v>
      </c>
      <c r="H14" s="32" t="inlineStr">
        <is>
          <t>measured</t>
        </is>
      </c>
      <c r="I14" s="32" t="inlineStr">
        <is>
          <t>framecad_bom: BATTEN schedule total</t>
        </is>
      </c>
      <c r="J14" s="32" t="inlineStr">
        <is>
          <t>framecad_bom: FrameCAD BATTEN entries</t>
        </is>
      </c>
      <c r="K14" s="32" t="inlineStr">
        <is>
          <t>direct from BOM</t>
        </is>
      </c>
      <c r="L14" s="32" t="inlineStr">
        <is>
          <t>HIGH</t>
        </is>
      </c>
    </row>
    <row r="15">
      <c r="A15" s="32" t="inlineStr">
        <is>
          <t>A09</t>
        </is>
      </c>
      <c r="B15" s="32" t="inlineStr">
        <is>
          <t>50107</t>
        </is>
      </c>
      <c r="C15" s="32" t="inlineStr">
        <is>
          <t>50107 - Structural &amp; Base Steel &amp; Footings</t>
        </is>
      </c>
      <c r="D15" s="32" t="inlineStr">
        <is>
          <t>Ceiling/Wall Batten G22 × 4800mm</t>
        </is>
      </c>
      <c r="E15" s="32" t="inlineStr">
        <is>
          <t>Ceiling Batten | G22</t>
        </is>
      </c>
      <c r="F15" s="32" t="inlineStr">
        <is>
          <t>nr</t>
        </is>
      </c>
      <c r="G15" s="32" t="n">
        <v>176</v>
      </c>
      <c r="H15" s="32" t="inlineStr">
        <is>
          <t>measured</t>
        </is>
      </c>
      <c r="I15" s="32" t="inlineStr">
        <is>
          <t>framecad_bom: 176 × 4800mm = 844.8 lm</t>
        </is>
      </c>
      <c r="J15" s="32" t="inlineStr">
        <is>
          <t>framecad_bom: BATTEN 22 176 4800</t>
        </is>
      </c>
      <c r="K15" s="32" t="inlineStr">
        <is>
          <t>176 nr × 4800mm</t>
        </is>
      </c>
      <c r="L15" s="32" t="inlineStr">
        <is>
          <t>LOW</t>
        </is>
      </c>
    </row>
    <row r="16">
      <c r="A16" s="32" t="inlineStr">
        <is>
          <t>A10</t>
        </is>
      </c>
      <c r="B16" s="32" t="inlineStr">
        <is>
          <t>50107</t>
        </is>
      </c>
      <c r="C16" s="32" t="inlineStr">
        <is>
          <t>50107 - Structural &amp; Base Steel &amp; Footings</t>
        </is>
      </c>
      <c r="D16" s="32" t="inlineStr">
        <is>
          <t>Ceiling/Wall Batten G22 × 6100mm</t>
        </is>
      </c>
      <c r="E16" s="32" t="inlineStr">
        <is>
          <t>Ceiling Batten | G22</t>
        </is>
      </c>
      <c r="F16" s="32" t="inlineStr">
        <is>
          <t>nr</t>
        </is>
      </c>
      <c r="G16" s="32" t="n">
        <v>5</v>
      </c>
      <c r="H16" s="32" t="inlineStr">
        <is>
          <t>measured</t>
        </is>
      </c>
      <c r="I16" s="32" t="inlineStr">
        <is>
          <t>framecad_bom: 5 × 6100mm = 30.5 lm</t>
        </is>
      </c>
      <c r="J16" s="32" t="inlineStr">
        <is>
          <t>framecad_bom: BATTEN 22 5 6100</t>
        </is>
      </c>
      <c r="K16" s="32" t="inlineStr">
        <is>
          <t>5 nr × 6100mm</t>
        </is>
      </c>
      <c r="L16" s="32" t="inlineStr">
        <is>
          <t>LOW</t>
        </is>
      </c>
    </row>
    <row r="17">
      <c r="A17" s="32" t="inlineStr">
        <is>
          <t>A11</t>
        </is>
      </c>
      <c r="B17" s="32" t="inlineStr">
        <is>
          <t>50107</t>
        </is>
      </c>
      <c r="C17" s="32" t="inlineStr">
        <is>
          <t>50107 - Structural &amp; Base Steel &amp; Footings</t>
        </is>
      </c>
      <c r="D17" s="32" t="inlineStr">
        <is>
          <t>Roof Top-Hat Batten G40 × 6000mm</t>
        </is>
      </c>
      <c r="E17" s="32" t="inlineStr">
        <is>
          <t>Roof Batten | 41mm Top Hat, G550, Z275</t>
        </is>
      </c>
      <c r="F17" s="32" t="inlineStr">
        <is>
          <t>nr</t>
        </is>
      </c>
      <c r="G17" s="32" t="n">
        <v>85</v>
      </c>
      <c r="H17" s="32" t="inlineStr">
        <is>
          <t>measured</t>
        </is>
      </c>
      <c r="I17" s="32" t="inlineStr">
        <is>
          <t>framecad_bom: 85 × 6000mm = 510.0 lm</t>
        </is>
      </c>
      <c r="J17" s="32" t="inlineStr">
        <is>
          <t>framecad_bom: BATTEN 40 85 6000</t>
        </is>
      </c>
      <c r="K17" s="32" t="inlineStr">
        <is>
          <t>85 nr × 6000mm</t>
        </is>
      </c>
      <c r="L17" s="32" t="inlineStr">
        <is>
          <t>MEDIUM</t>
        </is>
      </c>
    </row>
    <row r="18">
      <c r="A18" s="32" t="inlineStr">
        <is>
          <t>G01</t>
        </is>
      </c>
      <c r="B18" s="32" t="inlineStr">
        <is>
          <t>50107</t>
        </is>
      </c>
      <c r="C18" s="32" t="inlineStr">
        <is>
          <t>50107 - Structural &amp; Base Steel &amp; Footings</t>
        </is>
      </c>
      <c r="D18" s="32" t="inlineStr">
        <is>
          <t>Floor Cassette Panel — 3000mm × 2394mm</t>
        </is>
      </c>
      <c r="E18" s="32" t="inlineStr">
        <is>
          <t>Floor Cassette Panel — 3000mm × 2394mm</t>
        </is>
      </c>
      <c r="F18" s="32" t="inlineStr">
        <is>
          <t>nr</t>
        </is>
      </c>
      <c r="G18" s="32" t="n">
        <v>9</v>
      </c>
      <c r="H18" s="32" t="inlineStr">
        <is>
          <t>inferred</t>
        </is>
      </c>
      <c r="I18" s="32" t="inlineStr">
        <is>
          <t>DWG geometry: floor_area / panel_area = main_floor_area / (3000mm×2394mm=7.1820m²)</t>
        </is>
      </c>
      <c r="J18" s="32" t="inlineStr">
        <is>
          <t>framecad_dwg: DWG Layouts:Onpage FLayout — 9 panels × 3000mm×2394mm; J1×7 E1+E2×2 S1+S2×2</t>
        </is>
      </c>
      <c r="K18" s="32" t="inlineStr">
        <is>
          <t>floor_area / 7.182m² per panel → 9 panels</t>
        </is>
      </c>
      <c r="L18" s="32" t="inlineStr">
        <is>
          <t>MEDIUM</t>
        </is>
      </c>
    </row>
    <row r="19">
      <c r="A19" s="32" t="inlineStr">
        <is>
          <t>G02</t>
        </is>
      </c>
      <c r="B19" s="32" t="inlineStr">
        <is>
          <t>50107</t>
        </is>
      </c>
      <c r="C19" s="32" t="inlineStr">
        <is>
          <t>50107 - Structural &amp; Base Steel &amp; Footings</t>
        </is>
      </c>
      <c r="D19" s="32" t="inlineStr">
        <is>
          <t>Floor Joist (J1) — 150S41-095-500 × 2394mm</t>
        </is>
      </c>
      <c r="E19" s="32" t="inlineStr">
        <is>
          <t>Floor Joist (J1) — 150S41-095-500 × 2394mm</t>
        </is>
      </c>
      <c r="F19" s="32" t="inlineStr">
        <is>
          <t>nr</t>
        </is>
      </c>
      <c r="G19" s="32" t="n">
        <v>63</v>
      </c>
      <c r="H19" s="32" t="inlineStr">
        <is>
          <t>inferred</t>
        </is>
      </c>
      <c r="I19" s="32" t="inlineStr">
        <is>
          <t>DWG schedule: 7 J1 joists per panel × 9 panels</t>
        </is>
      </c>
      <c r="J19" s="32" t="inlineStr">
        <is>
          <t>framecad_dwg: DWG Layouts:Onpage FLayout — 9 panels × 3000mm×2394mm; J1×7 E1+E2×2 S1+S2×2</t>
        </is>
      </c>
      <c r="K19" s="32" t="inlineStr">
        <is>
          <t>7 × 9 panels</t>
        </is>
      </c>
      <c r="L19" s="32" t="inlineStr">
        <is>
          <t>MEDIUM</t>
        </is>
      </c>
    </row>
    <row r="20">
      <c r="A20" s="32" t="inlineStr">
        <is>
          <t>G03</t>
        </is>
      </c>
      <c r="B20" s="32" t="inlineStr">
        <is>
          <t>50107</t>
        </is>
      </c>
      <c r="C20" s="32" t="inlineStr">
        <is>
          <t>50107 - Structural &amp; Base Steel &amp; Footings</t>
        </is>
      </c>
      <c r="D20" s="32" t="inlineStr">
        <is>
          <t>Floor Joist (J1) — 150S41-095-500 (total lm)</t>
        </is>
      </c>
      <c r="E20" s="32" t="inlineStr">
        <is>
          <t>Floor Joist (J1) — 150S41-095-500 (total lm)</t>
        </is>
      </c>
      <c r="F20" s="32" t="inlineStr">
        <is>
          <t>lm</t>
        </is>
      </c>
      <c r="G20" s="32" t="n">
        <v>150.82</v>
      </c>
      <c r="H20" s="32" t="inlineStr">
        <is>
          <t>inferred</t>
        </is>
      </c>
      <c r="I20" s="32" t="inlineStr">
        <is>
          <t>DWG schedule: 63 joists × 2394mm</t>
        </is>
      </c>
      <c r="J20" s="32" t="inlineStr">
        <is>
          <t>framecad_dwg: DWG Layouts:Onpage FLayout — 9 panels × 3000mm×2394mm; J1×7 E1+E2×2 S1+S2×2</t>
        </is>
      </c>
      <c r="K20" s="32" t="inlineStr">
        <is>
          <t>63 × 2394/1000 = 150.82</t>
        </is>
      </c>
      <c r="L20" s="32" t="inlineStr">
        <is>
          <t>MEDIUM</t>
        </is>
      </c>
    </row>
    <row r="21">
      <c r="A21" s="32" t="inlineStr">
        <is>
          <t>G04</t>
        </is>
      </c>
      <c r="B21" s="32" t="inlineStr">
        <is>
          <t>50107</t>
        </is>
      </c>
      <c r="C21" s="32" t="inlineStr">
        <is>
          <t>50107 - Structural &amp; Base Steel &amp; Footings</t>
        </is>
      </c>
      <c r="D21" s="32" t="inlineStr">
        <is>
          <t>Floor Edge Beam (E1+E2) — 150P41-115-500 × 3000mm</t>
        </is>
      </c>
      <c r="E21" s="32" t="inlineStr">
        <is>
          <t>Floor Edge Beam (E1+E2) — 150P41-115-500 × 3000mm</t>
        </is>
      </c>
      <c r="F21" s="32" t="inlineStr">
        <is>
          <t>nr</t>
        </is>
      </c>
      <c r="G21" s="32" t="n">
        <v>18</v>
      </c>
      <c r="H21" s="32" t="inlineStr">
        <is>
          <t>inferred</t>
        </is>
      </c>
      <c r="I21" s="32" t="inlineStr">
        <is>
          <t>DWG schedule: 2 edge beams per panel × 9 panels</t>
        </is>
      </c>
      <c r="J21" s="32" t="inlineStr">
        <is>
          <t>framecad_dwg: DWG Layouts:Onpage FLayout — 9 panels × 3000mm×2394mm; J1×7 E1+E2×2 S1+S2×2</t>
        </is>
      </c>
      <c r="K21" s="32" t="inlineStr">
        <is>
          <t>2 × 9 panels</t>
        </is>
      </c>
      <c r="L21" s="32" t="inlineStr">
        <is>
          <t>MEDIUM</t>
        </is>
      </c>
    </row>
    <row r="22">
      <c r="A22" s="32" t="inlineStr">
        <is>
          <t>G05</t>
        </is>
      </c>
      <c r="B22" s="32" t="inlineStr">
        <is>
          <t>50107</t>
        </is>
      </c>
      <c r="C22" s="32" t="inlineStr">
        <is>
          <t>50107 - Structural &amp; Base Steel &amp; Footings</t>
        </is>
      </c>
      <c r="D22" s="32" t="inlineStr">
        <is>
          <t>Floor Stringer (S1+S2) — 150S41-115-500 × 2394mm</t>
        </is>
      </c>
      <c r="E22" s="32" t="inlineStr">
        <is>
          <t>Floor Stringer (S1+S2) — 150S41-115-500 × 2394mm</t>
        </is>
      </c>
      <c r="F22" s="32" t="inlineStr">
        <is>
          <t>nr</t>
        </is>
      </c>
      <c r="G22" s="32" t="n">
        <v>18</v>
      </c>
      <c r="H22" s="32" t="inlineStr">
        <is>
          <t>inferred</t>
        </is>
      </c>
      <c r="I22" s="32" t="inlineStr">
        <is>
          <t>DWG schedule: 2 stringers per panel × 9 panels</t>
        </is>
      </c>
      <c r="J22" s="32" t="inlineStr">
        <is>
          <t>framecad_dwg: DWG Layouts:Onpage FLayout — 9 panels × 3000mm×2394mm; J1×7 E1+E2×2 S1+S2×2</t>
        </is>
      </c>
      <c r="K22" s="32" t="inlineStr">
        <is>
          <t>2 × 9 panels</t>
        </is>
      </c>
      <c r="L22" s="32" t="inlineStr">
        <is>
          <t>MEDIUM</t>
        </is>
      </c>
    </row>
    <row r="23">
      <c r="A23" s="32" t="inlineStr">
        <is>
          <t>G06</t>
        </is>
      </c>
      <c r="B23" s="32" t="inlineStr">
        <is>
          <t>50107</t>
        </is>
      </c>
      <c r="C23" s="32" t="inlineStr">
        <is>
          <t>50107 - Structural &amp; Base Steel &amp; Footings</t>
        </is>
      </c>
      <c r="D23" s="32" t="inlineStr">
        <is>
          <t>Floor Sheet (FC / plywood)</t>
        </is>
      </c>
      <c r="E23" s="32" t="inlineStr">
        <is>
          <t>FC Sheet Floor | 18mm thk, 1200 x 2400 Sheet</t>
        </is>
      </c>
      <c r="F23" s="32" t="inlineStr">
        <is>
          <t>sheets</t>
        </is>
      </c>
      <c r="G23" s="32" t="n">
        <v>24</v>
      </c>
      <c r="H23" s="32" t="inlineStr">
        <is>
          <t>calculated</t>
        </is>
      </c>
      <c r="I23" s="32" t="inlineStr">
        <is>
          <t>ceil(floor_area × 1.05 / 2.88)</t>
        </is>
      </c>
      <c r="J23" s="32" t="inlineStr">
        <is>
          <t>framecad_dwg+dxf_geometry: floor_area=64.80 m²</t>
        </is>
      </c>
      <c r="K23" s="32" t="inlineStr">
        <is>
          <t>ceil(64.80 × 1.05 / 2.88)</t>
        </is>
      </c>
      <c r="L23" s="32" t="inlineStr">
        <is>
          <t>MEDIUM</t>
        </is>
      </c>
    </row>
    <row r="24">
      <c r="A24" s="32" t="inlineStr">
        <is>
          <t>G07</t>
        </is>
      </c>
      <c r="B24" s="32" t="inlineStr">
        <is>
          <t>50107</t>
        </is>
      </c>
      <c r="C24" s="32" t="inlineStr">
        <is>
          <t>50107 - Structural &amp; Base Steel &amp; Footings</t>
        </is>
      </c>
      <c r="D24" s="32" t="inlineStr">
        <is>
          <t>Floor Sheet Fixing Screws</t>
        </is>
      </c>
      <c r="E24" s="32" t="inlineStr">
        <is>
          <t>Fixing | FC Floor Sheet Screw</t>
        </is>
      </c>
      <c r="F24" s="32" t="inlineStr">
        <is>
          <t>boxes</t>
        </is>
      </c>
      <c r="G24" s="32" t="n">
        <v>2</v>
      </c>
      <c r="H24" s="32" t="inlineStr">
        <is>
          <t>calculated</t>
        </is>
      </c>
      <c r="I24" s="32" t="inlineStr">
        <is>
          <t>ceil(sheet_count × 16 fixings / 200 per box)</t>
        </is>
      </c>
      <c r="J24" s="32" t="inlineStr">
        <is>
          <t>framecad_dwg+dxf_geometry: sheet_count=24</t>
        </is>
      </c>
      <c r="K24" s="32" t="inlineStr">
        <is>
          <t>ceil(sheets × 16 / 200)</t>
        </is>
      </c>
      <c r="L24" s="32" t="inlineStr">
        <is>
          <t>LOW</t>
        </is>
      </c>
    </row>
    <row r="25">
      <c r="A25" s="32" t="inlineStr">
        <is>
          <t>H01</t>
        </is>
      </c>
      <c r="B25" s="32" t="inlineStr">
        <is>
          <t>50107</t>
        </is>
      </c>
      <c r="C25" s="32" t="inlineStr">
        <is>
          <t>50107 - Structural &amp; Base Steel &amp; Footings</t>
        </is>
      </c>
      <c r="D25" s="32" t="inlineStr">
        <is>
          <t>Strip Footing — External Perimeter</t>
        </is>
      </c>
      <c r="E25" s="32" t="inlineStr">
        <is>
          <t>Substructure | Strip Footing, External Perimeter</t>
        </is>
      </c>
      <c r="F25" s="32" t="inlineStr">
        <is>
          <t>lm</t>
        </is>
      </c>
      <c r="G25" s="32" t="n">
        <v>38.4</v>
      </c>
      <c r="H25" s="32" t="inlineStr">
        <is>
          <t>calculated</t>
        </is>
      </c>
      <c r="I25" s="32">
        <f> ext_wall_perimeter (steel floor bearing line)</f>
        <v/>
      </c>
      <c r="J25" s="32" t="inlineStr">
        <is>
          <t>derived_steel_floor: perimeter=38.4 m</t>
        </is>
      </c>
      <c r="K25" s="32">
        <f> ext_wall_perimeter</f>
        <v/>
      </c>
      <c r="L25" s="32" t="inlineStr">
        <is>
          <t>MEDIUM</t>
        </is>
      </c>
    </row>
    <row r="26">
      <c r="A26" s="32" t="inlineStr">
        <is>
          <t>H02</t>
        </is>
      </c>
      <c r="B26" s="32" t="inlineStr">
        <is>
          <t>50107</t>
        </is>
      </c>
      <c r="C26" s="32" t="inlineStr">
        <is>
          <t>50107 - Structural &amp; Base Steel &amp; Footings</t>
        </is>
      </c>
      <c r="D26" s="32" t="inlineStr">
        <is>
          <t>Strip Footing — Concrete Volume</t>
        </is>
      </c>
      <c r="E26" s="32" t="inlineStr">
        <is>
          <t>Substructure | Strip Footing Concrete Volume</t>
        </is>
      </c>
      <c r="F26" s="32" t="inlineStr">
        <is>
          <t>m3</t>
        </is>
      </c>
      <c r="G26" s="32" t="n">
        <v>7.68</v>
      </c>
      <c r="H26" s="32" t="inlineStr">
        <is>
          <t>calculated</t>
        </is>
      </c>
      <c r="I26" s="32" t="inlineStr">
        <is>
          <t>perimeter × 0.5 m depth × 0.4 m width</t>
        </is>
      </c>
      <c r="J26" s="32" t="inlineStr">
        <is>
          <t>derived_steel_floor: 38.4 × 0.5 × 0.4</t>
        </is>
      </c>
      <c r="K26" s="32" t="inlineStr">
        <is>
          <t>38.4 × 0.5 × 0.4</t>
        </is>
      </c>
      <c r="L26" s="32" t="inlineStr">
        <is>
          <t>LOW</t>
        </is>
      </c>
    </row>
    <row r="27">
      <c r="A27" s="32" t="inlineStr">
        <is>
          <t>H03</t>
        </is>
      </c>
      <c r="B27" s="32" t="inlineStr">
        <is>
          <t>50107</t>
        </is>
      </c>
      <c r="C27" s="32" t="inlineStr">
        <is>
          <t>50107 - Structural &amp; Base Steel &amp; Footings</t>
        </is>
      </c>
      <c r="D27" s="32" t="inlineStr">
        <is>
          <t>Strip Footing — Formwork</t>
        </is>
      </c>
      <c r="E27" s="32" t="inlineStr">
        <is>
          <t>Substructure | Strip Footing Formwork</t>
        </is>
      </c>
      <c r="F27" s="32" t="inlineStr">
        <is>
          <t>lm</t>
        </is>
      </c>
      <c r="G27" s="32" t="n">
        <v>38.4</v>
      </c>
      <c r="H27" s="32" t="inlineStr">
        <is>
          <t>calculated</t>
        </is>
      </c>
      <c r="I27" s="32">
        <f> perimeter (strip footing edge form)</f>
        <v/>
      </c>
      <c r="J27" s="32" t="inlineStr">
        <is>
          <t>derived_steel_floor: perimeter=38.4 m</t>
        </is>
      </c>
      <c r="K27" s="32">
        <f> ext_wall_perimeter</f>
        <v/>
      </c>
      <c r="L27" s="32" t="inlineStr">
        <is>
          <t>MEDIUM</t>
        </is>
      </c>
    </row>
    <row r="28">
      <c r="A28" s="32" t="inlineStr">
        <is>
          <t>H04</t>
        </is>
      </c>
      <c r="B28" s="32" t="inlineStr">
        <is>
          <t>50107</t>
        </is>
      </c>
      <c r="C28" s="32" t="inlineStr">
        <is>
          <t>50107 - Structural &amp; Base Steel &amp; Footings</t>
        </is>
      </c>
      <c r="D28" s="32" t="inlineStr">
        <is>
          <t>Bulk Earthworks / Level (provisional)</t>
        </is>
      </c>
      <c r="E28" s="32" t="inlineStr">
        <is>
          <t>Substructure | Bulk Earthworks / Level (provisional)</t>
        </is>
      </c>
      <c r="F28" s="32" t="inlineStr">
        <is>
          <t>m3</t>
        </is>
      </c>
      <c r="G28" s="32" t="n">
        <v>0</v>
      </c>
      <c r="H28" s="32" t="inlineStr">
        <is>
          <t>placeholder</t>
        </is>
      </c>
      <c r="I28" s="32" t="inlineStr">
        <is>
          <t>site survey required</t>
        </is>
      </c>
      <c r="J28" s="32" t="inlineStr">
        <is>
          <t>no site survey in sources</t>
        </is>
      </c>
      <c r="K28" s="32" t="inlineStr">
        <is>
          <t>manual review required</t>
        </is>
      </c>
      <c r="L28" s="32" t="inlineStr">
        <is>
          <t>LOW</t>
        </is>
      </c>
    </row>
    <row r="29">
      <c r="A29" s="32" t="inlineStr">
        <is>
          <t>H05</t>
        </is>
      </c>
      <c r="B29" s="32" t="inlineStr">
        <is>
          <t>50107</t>
        </is>
      </c>
      <c r="C29" s="32" t="inlineStr">
        <is>
          <t>50107 - Structural &amp; Base Steel &amp; Footings</t>
        </is>
      </c>
      <c r="D29" s="32" t="inlineStr">
        <is>
          <t>Strip Footing — Internal Bearing Lines</t>
        </is>
      </c>
      <c r="E29" s="32" t="inlineStr">
        <is>
          <t>Substructure | Strip Footing, Internal Bearing</t>
        </is>
      </c>
      <c r="F29" s="32" t="inlineStr">
        <is>
          <t>lm</t>
        </is>
      </c>
      <c r="G29" s="32" t="n">
        <v>29.4</v>
      </c>
      <c r="H29" s="32" t="inlineStr">
        <is>
          <t>calculated</t>
        </is>
      </c>
      <c r="I29" s="32">
        <f> int_wall_lm (DXF measured internal wall runs)</f>
        <v/>
      </c>
      <c r="J29" s="32" t="inlineStr">
        <is>
          <t>dxf_geometry: int_wall_lm=29.4 m</t>
        </is>
      </c>
      <c r="K29" s="32">
        <f> int_wall_perimeter</f>
        <v/>
      </c>
      <c r="L29" s="32" t="inlineStr">
        <is>
          <t>MEDIUM</t>
        </is>
      </c>
    </row>
    <row r="30">
      <c r="A30" s="32" t="inlineStr">
        <is>
          <t>H06</t>
        </is>
      </c>
      <c r="B30" s="32" t="inlineStr">
        <is>
          <t>50107</t>
        </is>
      </c>
      <c r="C30" s="32" t="inlineStr">
        <is>
          <t>50107 - Structural &amp; Base Steel &amp; Footings</t>
        </is>
      </c>
      <c r="D30" s="32" t="inlineStr">
        <is>
          <t>Strip Footing Internal — Concrete Volume</t>
        </is>
      </c>
      <c r="E30" s="32" t="inlineStr">
        <is>
          <t>Substructure | Strip Footing, Internal Bearing</t>
        </is>
      </c>
      <c r="F30" s="32" t="inlineStr">
        <is>
          <t>m3</t>
        </is>
      </c>
      <c r="G30" s="32" t="n">
        <v>5.88</v>
      </c>
      <c r="H30" s="32" t="inlineStr">
        <is>
          <t>calculated</t>
        </is>
      </c>
      <c r="I30" s="32" t="inlineStr">
        <is>
          <t>int_lm × 0.5 m depth × 0.4 m width</t>
        </is>
      </c>
      <c r="J30" s="32" t="inlineStr">
        <is>
          <t>derived: 29.4 × 0.5 × 0.4</t>
        </is>
      </c>
      <c r="K30" s="32" t="inlineStr">
        <is>
          <t>29.4 × 0.5 × 0.4</t>
        </is>
      </c>
      <c r="L30" s="32" t="inlineStr">
        <is>
          <t>LOW</t>
        </is>
      </c>
    </row>
    <row r="31">
      <c r="A31" s="32" t="inlineStr">
        <is>
          <t>H07</t>
        </is>
      </c>
      <c r="B31" s="32" t="inlineStr">
        <is>
          <t>50107</t>
        </is>
      </c>
      <c r="C31" s="32" t="inlineStr">
        <is>
          <t>50107 - Structural &amp; Base Steel &amp; Footings</t>
        </is>
      </c>
      <c r="D31" s="32" t="inlineStr">
        <is>
          <t>Pad Footing (concrete)</t>
        </is>
      </c>
      <c r="E31" s="32" t="inlineStr">
        <is>
          <t>Substructure | Pad Footing, Concrete</t>
        </is>
      </c>
      <c r="F31" s="32" t="inlineStr">
        <is>
          <t>nr</t>
        </is>
      </c>
      <c r="G31" s="32" t="n">
        <v>15</v>
      </c>
      <c r="H31" s="32" t="inlineStr">
        <is>
          <t>measured</t>
        </is>
      </c>
      <c r="I31" s="32" t="inlineStr">
        <is>
          <t>dxf_geometry: pad_count</t>
        </is>
      </c>
      <c r="J31" s="32" t="inlineStr">
        <is>
          <t>dxf_geometry: count=15</t>
        </is>
      </c>
      <c r="K31" s="32" t="inlineStr">
        <is>
          <t>direct count</t>
        </is>
      </c>
      <c r="L31" s="32" t="inlineStr">
        <is>
          <t>MEDIUM</t>
        </is>
      </c>
    </row>
    <row r="32">
      <c r="A32" s="32" t="inlineStr">
        <is>
          <t>H08</t>
        </is>
      </c>
      <c r="B32" s="32" t="inlineStr">
        <is>
          <t>50107</t>
        </is>
      </c>
      <c r="C32" s="32" t="inlineStr">
        <is>
          <t>50107 - Structural &amp; Base Steel &amp; Footings</t>
        </is>
      </c>
      <c r="D32" s="32" t="inlineStr">
        <is>
          <t>Pad Footing Concrete (m3)</t>
        </is>
      </c>
      <c r="E32" s="32" t="inlineStr">
        <is>
          <t>Substructure | Pad Footing Concrete Volume</t>
        </is>
      </c>
      <c r="F32" s="32" t="inlineStr">
        <is>
          <t>m3</t>
        </is>
      </c>
      <c r="G32" s="32" t="n">
        <v>5.145</v>
      </c>
      <c r="H32" s="32" t="inlineStr">
        <is>
          <t>calculated</t>
        </is>
      </c>
      <c r="I32" s="32" t="inlineStr">
        <is>
          <t>count × 0.7×0.7×0.7 m = 0.343 m³ each</t>
        </is>
      </c>
      <c r="J32" s="32" t="inlineStr">
        <is>
          <t>derived: 15 pads × 0.343 m³</t>
        </is>
      </c>
      <c r="K32" s="32" t="inlineStr">
        <is>
          <t>15 × 0.343</t>
        </is>
      </c>
      <c r="L32" s="32" t="inlineStr">
        <is>
          <t>LOW</t>
        </is>
      </c>
    </row>
    <row r="33">
      <c r="A33" s="32" t="inlineStr">
        <is>
          <t>A12</t>
        </is>
      </c>
      <c r="B33" s="32" t="inlineStr">
        <is>
          <t>50111</t>
        </is>
      </c>
      <c r="C33" s="32" t="inlineStr">
        <is>
          <t>50111 - Fixings &amp; Connectors</t>
        </is>
      </c>
      <c r="D33" s="32" t="inlineStr">
        <is>
          <t>Framing Screw 12G-14×20 HEX Head (LGS stud-to-track)</t>
        </is>
      </c>
      <c r="E33" s="32" t="inlineStr">
        <is>
          <t>Fixing | 12G-14x20mm HEX Head, DP</t>
        </is>
      </c>
      <c r="F33" s="32" t="inlineStr">
        <is>
          <t>boxes</t>
        </is>
      </c>
      <c r="G33" s="32" t="n">
        <v>19</v>
      </c>
      <c r="H33" s="32" t="inlineStr">
        <is>
          <t>calculated</t>
        </is>
      </c>
      <c r="I33" s="32" t="inlineStr">
        <is>
          <t>wall_frame_lm(2300.4) × 4.0 screws/m ÷ 500/box</t>
        </is>
      </c>
      <c r="J33" s="32" t="inlineStr">
        <is>
          <t>framecad_bom: wall=2300.4lm, roof_panel=481.7lm, batten=1385.3lm; dxf: pad_count=15, strip_perim=0.0m</t>
        </is>
      </c>
      <c r="K33" s="32" t="inlineStr">
        <is>
          <t>ceil(2300.4 × 4.0 / 500)</t>
        </is>
      </c>
      <c r="L33" s="32" t="inlineStr">
        <is>
          <t>MEDIUM</t>
        </is>
      </c>
    </row>
    <row r="34">
      <c r="A34" s="32" t="inlineStr">
        <is>
          <t>A13</t>
        </is>
      </c>
      <c r="B34" s="32" t="inlineStr">
        <is>
          <t>50111</t>
        </is>
      </c>
      <c r="C34" s="32" t="inlineStr">
        <is>
          <t>50111 - Fixings &amp; Connectors</t>
        </is>
      </c>
      <c r="D34" s="32" t="inlineStr">
        <is>
          <t>Framing Screw 10G-24×40 Countersunk (roof panel)</t>
        </is>
      </c>
      <c r="E34" s="32" t="inlineStr">
        <is>
          <t>Fixing | 10G-24x40mm Countersunk, DP</t>
        </is>
      </c>
      <c r="F34" s="32" t="inlineStr">
        <is>
          <t>boxes</t>
        </is>
      </c>
      <c r="G34" s="32" t="n">
        <v>3</v>
      </c>
      <c r="H34" s="32" t="inlineStr">
        <is>
          <t>calculated</t>
        </is>
      </c>
      <c r="I34" s="32" t="inlineStr">
        <is>
          <t>roof_panel_lm(481.7) × 3.0 screws/m ÷ 500/box</t>
        </is>
      </c>
      <c r="J34" s="32" t="inlineStr">
        <is>
          <t>framecad_bom: wall=2300.4lm, roof_panel=481.7lm, batten=1385.3lm; dxf: pad_count=15, strip_perim=0.0m</t>
        </is>
      </c>
      <c r="K34" s="32" t="inlineStr">
        <is>
          <t>ceil(481.7 × 3.0 / 500)</t>
        </is>
      </c>
      <c r="L34" s="32" t="inlineStr">
        <is>
          <t>MEDIUM</t>
        </is>
      </c>
    </row>
    <row r="35">
      <c r="A35" s="32" t="inlineStr">
        <is>
          <t>A14</t>
        </is>
      </c>
      <c r="B35" s="32" t="inlineStr">
        <is>
          <t>50111</t>
        </is>
      </c>
      <c r="C35" s="32" t="inlineStr">
        <is>
          <t>50111 - Fixings &amp; Connectors</t>
        </is>
      </c>
      <c r="D35" s="32" t="inlineStr">
        <is>
          <t>Framing Screw 10G-14×16 Wafer Head (batten-to-purlin)</t>
        </is>
      </c>
      <c r="E35" s="32" t="inlineStr">
        <is>
          <t>Fixing | 10G-14x16mm Wafer Head, DP</t>
        </is>
      </c>
      <c r="F35" s="32" t="inlineStr">
        <is>
          <t>boxes</t>
        </is>
      </c>
      <c r="G35" s="32" t="n">
        <v>7</v>
      </c>
      <c r="H35" s="32" t="inlineStr">
        <is>
          <t>calculated</t>
        </is>
      </c>
      <c r="I35" s="32" t="inlineStr">
        <is>
          <t>batten_lm(1385.3) × 2.5 screws/m ÷ 500/box</t>
        </is>
      </c>
      <c r="J35" s="32" t="inlineStr">
        <is>
          <t>framecad_bom: wall=2300.4lm, roof_panel=481.7lm, batten=1385.3lm; dxf: pad_count=15, strip_perim=0.0m</t>
        </is>
      </c>
      <c r="K35" s="32" t="inlineStr">
        <is>
          <t>ceil(1385.3 × 2.5 / 500)</t>
        </is>
      </c>
      <c r="L35" s="32" t="inlineStr">
        <is>
          <t>LOW</t>
        </is>
      </c>
    </row>
    <row r="36">
      <c r="A36" s="32" t="inlineStr">
        <is>
          <t>A15</t>
        </is>
      </c>
      <c r="B36" s="32" t="inlineStr">
        <is>
          <t>50111</t>
        </is>
      </c>
      <c r="C36" s="32" t="inlineStr">
        <is>
          <t>50111 - Fixings &amp; Connectors</t>
        </is>
      </c>
      <c r="D36" s="32" t="inlineStr">
        <is>
          <t>Sleeve Anchor M12×75 — Pad Footings</t>
        </is>
      </c>
      <c r="E36" s="32" t="inlineStr">
        <is>
          <t>Fixing | M12 x 75mm Sleeve Anchor (Pad Footings)</t>
        </is>
      </c>
      <c r="F36" s="32" t="inlineStr">
        <is>
          <t>nr</t>
        </is>
      </c>
      <c r="G36" s="32" t="n">
        <v>60</v>
      </c>
      <c r="H36" s="32" t="inlineStr">
        <is>
          <t>calculated</t>
        </is>
      </c>
      <c r="I36" s="32" t="inlineStr">
        <is>
          <t>pad_count(15) × 4 anchors per pad</t>
        </is>
      </c>
      <c r="J36" s="32" t="inlineStr">
        <is>
          <t>dxf_geometry: pad_count=15 (DXF STRUCTURE layer)</t>
        </is>
      </c>
      <c r="K36" s="32" t="inlineStr">
        <is>
          <t>15 × 4</t>
        </is>
      </c>
      <c r="L36" s="32" t="inlineStr">
        <is>
          <t>MEDIUM</t>
        </is>
      </c>
    </row>
    <row r="37">
      <c r="A37" s="32" t="inlineStr">
        <is>
          <t>A16</t>
        </is>
      </c>
      <c r="B37" s="32" t="inlineStr">
        <is>
          <t>50111</t>
        </is>
      </c>
      <c r="C37" s="32" t="inlineStr">
        <is>
          <t>50111 - Fixings &amp; Connectors</t>
        </is>
      </c>
      <c r="D37" s="32" t="inlineStr">
        <is>
          <t>PH Post Holder Bracket (PHA/PHB/PHD)</t>
        </is>
      </c>
      <c r="E37" s="32" t="inlineStr">
        <is>
          <t>PH Bracket | Post Holder (PHA/PHB/PHD)</t>
        </is>
      </c>
      <c r="F37" s="32" t="inlineStr">
        <is>
          <t>nr</t>
        </is>
      </c>
      <c r="G37" s="32" t="n">
        <v>28</v>
      </c>
      <c r="H37" s="32" t="inlineStr">
        <is>
          <t>calculated</t>
        </is>
      </c>
      <c r="I37" s="32" t="inlineStr">
        <is>
          <t>steel_shs_lm(96.7) ÷ avg_height(3.5m)</t>
        </is>
      </c>
      <c r="J37" s="32" t="inlineStr">
        <is>
          <t>ifc_model: steel_shs_lm=96.69 / avg_height(3.5m)</t>
        </is>
      </c>
      <c r="K37" s="32" t="inlineStr">
        <is>
          <t>ceil(96.7/3.5)</t>
        </is>
      </c>
      <c r="L37" s="32" t="inlineStr">
        <is>
          <t>LOW</t>
        </is>
      </c>
    </row>
    <row r="38">
      <c r="A38" s="32" t="inlineStr">
        <is>
          <t>A17</t>
        </is>
      </c>
      <c r="B38" s="32" t="inlineStr">
        <is>
          <t>50111</t>
        </is>
      </c>
      <c r="C38" s="32" t="inlineStr">
        <is>
          <t>50111 - Fixings &amp; Connectors</t>
        </is>
      </c>
      <c r="D38" s="32" t="inlineStr">
        <is>
          <t>Triple Grip Connector (roof-to-wall uplift)</t>
        </is>
      </c>
      <c r="E38" s="32" t="inlineStr">
        <is>
          <t>Accessories | Triple Grip Connector (Pryda)</t>
        </is>
      </c>
      <c r="F38" s="32" t="inlineStr">
        <is>
          <t>nr</t>
        </is>
      </c>
      <c r="G38" s="32" t="n">
        <v>36</v>
      </c>
      <c r="H38" s="32" t="inlineStr">
        <is>
          <t>calculated</t>
        </is>
      </c>
      <c r="I38" s="32" t="inlineStr">
        <is>
          <t>eaves_lm(42.4) ÷ spacing(1.2m)</t>
        </is>
      </c>
      <c r="J38" s="32" t="inlineStr">
        <is>
          <t>dxf_geometry: eaves_length=42.4m</t>
        </is>
      </c>
      <c r="K38" s="32" t="inlineStr">
        <is>
          <t>ceil(42.4 / 1.2)</t>
        </is>
      </c>
      <c r="L38" s="32" t="inlineStr">
        <is>
          <t>LOW</t>
        </is>
      </c>
    </row>
    <row r="39">
      <c r="A39" s="32" t="inlineStr">
        <is>
          <t>A18</t>
        </is>
      </c>
      <c r="B39" s="32" t="inlineStr">
        <is>
          <t>50111</t>
        </is>
      </c>
      <c r="C39" s="32" t="inlineStr">
        <is>
          <t>50111 - Fixings &amp; Connectors</t>
        </is>
      </c>
      <c r="D39" s="32" t="inlineStr">
        <is>
          <t>Hold-Down Washer — Cyclonic (post base)</t>
        </is>
      </c>
      <c r="E39" s="32" t="inlineStr">
        <is>
          <t>Accessories | Hold Down Washer, Cyclonic</t>
        </is>
      </c>
      <c r="F39" s="32" t="inlineStr">
        <is>
          <t>nr</t>
        </is>
      </c>
      <c r="G39" s="32" t="n">
        <v>60</v>
      </c>
      <c r="H39" s="32" t="inlineStr">
        <is>
          <t>calculated</t>
        </is>
      </c>
      <c r="I39" s="32" t="inlineStr">
        <is>
          <t>pad_count(15) × 4 washers per pad</t>
        </is>
      </c>
      <c r="J39" s="32" t="inlineStr">
        <is>
          <t>dxf_geometry: pad_count=15</t>
        </is>
      </c>
      <c r="K39" s="32" t="inlineStr">
        <is>
          <t>15 × 4</t>
        </is>
      </c>
      <c r="L39" s="32" t="inlineStr">
        <is>
          <t>LOW</t>
        </is>
      </c>
    </row>
    <row r="40">
      <c r="A40" s="32" t="inlineStr">
        <is>
          <t>A19</t>
        </is>
      </c>
      <c r="B40" s="32" t="inlineStr">
        <is>
          <t>50111</t>
        </is>
      </c>
      <c r="C40" s="32" t="inlineStr">
        <is>
          <t>50111 - Fixings &amp; Connectors</t>
        </is>
      </c>
      <c r="D40" s="32" t="inlineStr">
        <is>
          <t>Fix Plate / Gusset Plate (strap bracing connection)</t>
        </is>
      </c>
      <c r="E40" s="32" t="inlineStr">
        <is>
          <t>Accessories | Fix Plate Connector, G350</t>
        </is>
      </c>
      <c r="F40" s="32" t="inlineStr">
        <is>
          <t>nr</t>
        </is>
      </c>
      <c r="G40" s="32" t="n">
        <v>18</v>
      </c>
      <c r="H40" s="32" t="inlineStr">
        <is>
          <t>calculated</t>
        </is>
      </c>
      <c r="I40" s="32" t="inlineStr">
        <is>
          <t>wall_strap_lm(49.7) × 0.35 plates/m</t>
        </is>
      </c>
      <c r="J40" s="32" t="inlineStr">
        <is>
          <t>framecad_bom: wall_strap_lm=49.73lm</t>
        </is>
      </c>
      <c r="K40" s="32" t="inlineStr">
        <is>
          <t>ceil(49.7 × 0.35)</t>
        </is>
      </c>
      <c r="L40" s="32" t="inlineStr">
        <is>
          <t>LOW</t>
        </is>
      </c>
    </row>
    <row r="41">
      <c r="A41" s="32" t="inlineStr">
        <is>
          <t>A20</t>
        </is>
      </c>
      <c r="B41" s="32" t="inlineStr">
        <is>
          <t>50111</t>
        </is>
      </c>
      <c r="C41" s="32" t="inlineStr">
        <is>
          <t>50111 - Fixings &amp; Connectors</t>
        </is>
      </c>
      <c r="D41" s="32" t="inlineStr">
        <is>
          <t>Diagonal Strap Tensioner / Anchor (bracing strap end)</t>
        </is>
      </c>
      <c r="E41" s="32" t="inlineStr">
        <is>
          <t>Accessories | Strap Brace Tensioner</t>
        </is>
      </c>
      <c r="F41" s="32" t="inlineStr">
        <is>
          <t>nr</t>
        </is>
      </c>
      <c r="G41" s="32" t="n">
        <v>34</v>
      </c>
      <c r="H41" s="32" t="inlineStr">
        <is>
          <t>calculated</t>
        </is>
      </c>
      <c r="I41" s="32" t="inlineStr">
        <is>
          <t>strap_runs(17) × 2 ends</t>
        </is>
      </c>
      <c r="J41" s="32" t="inlineStr">
        <is>
          <t>framecad_bom: wall_strap_lm=49.73lm</t>
        </is>
      </c>
      <c r="K41" s="32" t="inlineStr">
        <is>
          <t>ceil(49.7/3.0) × 2</t>
        </is>
      </c>
      <c r="L41" s="32" t="inlineStr">
        <is>
          <t>LOW</t>
        </is>
      </c>
    </row>
    <row r="42">
      <c r="A42" s="32" t="inlineStr">
        <is>
          <t>A21</t>
        </is>
      </c>
      <c r="B42" s="32" t="inlineStr">
        <is>
          <t>50111</t>
        </is>
      </c>
      <c r="C42" s="32" t="inlineStr">
        <is>
          <t>50111 - Fixings &amp; Connectors</t>
        </is>
      </c>
      <c r="D42" s="32" t="inlineStr">
        <is>
          <t>Cable Grommet (LGS service penetration)</t>
        </is>
      </c>
      <c r="E42" s="32" t="inlineStr">
        <is>
          <t>Accessories | Grommet 35mm Dia</t>
        </is>
      </c>
      <c r="F42" s="32" t="inlineStr">
        <is>
          <t>nr</t>
        </is>
      </c>
      <c r="G42" s="32" t="n">
        <v>45</v>
      </c>
      <c r="H42" s="32" t="inlineStr">
        <is>
          <t>inferred</t>
        </is>
      </c>
      <c r="I42" s="32" t="inlineStr">
        <is>
          <t>int_wall_lm(29.4) × 1.5 grommets/m</t>
        </is>
      </c>
      <c r="J42" s="32" t="inlineStr">
        <is>
          <t>dxf_geometry: int_wall_lm=29.4m</t>
        </is>
      </c>
      <c r="K42" s="32" t="inlineStr">
        <is>
          <t>ceil(29.4 × 1.5)</t>
        </is>
      </c>
      <c r="L42" s="32" t="inlineStr">
        <is>
          <t>LOW</t>
        </is>
      </c>
    </row>
    <row r="43">
      <c r="A43" s="32" t="inlineStr">
        <is>
          <t>A22</t>
        </is>
      </c>
      <c r="B43" s="32" t="inlineStr">
        <is>
          <t>50111</t>
        </is>
      </c>
      <c r="C43" s="32" t="inlineStr">
        <is>
          <t>50111 - Fixings &amp; Connectors</t>
        </is>
      </c>
      <c r="D43" s="32" t="inlineStr">
        <is>
          <t>Structural Fixings Remainder — Hex Bolts / Angles / Misc (PLACEHOLDER)</t>
        </is>
      </c>
      <c r="E43" s="32" t="inlineStr">
        <is>
          <t>Fixing | Structural Fixings Remainder (PLACEHOLDER)</t>
        </is>
      </c>
      <c r="F43" s="32" t="inlineStr">
        <is>
          <t>item</t>
        </is>
      </c>
      <c r="G43" s="32" t="n">
        <v>0</v>
      </c>
      <c r="H43" s="32" t="inlineStr">
        <is>
          <t>placeholder</t>
        </is>
      </c>
      <c r="I43" s="32" t="inlineStr">
        <is>
          <t>no FrameCAD connection schedule — grouped items not derivable</t>
        </is>
      </c>
      <c r="J43" s="32" t="inlineStr">
        <is>
          <t>no fixing schedule in source documents</t>
        </is>
      </c>
      <c r="K43" s="32" t="inlineStr">
        <is>
          <t>manual review required</t>
        </is>
      </c>
      <c r="L43" s="32" t="inlineStr">
        <is>
          <t>LOW</t>
        </is>
      </c>
    </row>
    <row r="44">
      <c r="A44" s="32" t="inlineStr">
        <is>
          <t>B01</t>
        </is>
      </c>
      <c r="B44" s="32" t="inlineStr">
        <is>
          <t>50112</t>
        </is>
      </c>
      <c r="C44" s="32" t="inlineStr">
        <is>
          <t>50112 - Roof &amp; Roof Plumbing</t>
        </is>
      </c>
      <c r="D44" s="32" t="inlineStr">
        <is>
          <t>Sisalation / Sarking</t>
        </is>
      </c>
      <c r="E44" s="32" t="inlineStr">
        <is>
          <t>Insulation | Sisalation / Sarking</t>
        </is>
      </c>
      <c r="F44" s="32" t="inlineStr">
        <is>
          <t>rolls</t>
        </is>
      </c>
      <c r="G44" s="32" t="n">
        <v>2</v>
      </c>
      <c r="H44" s="32" t="inlineStr">
        <is>
          <t>calculated</t>
        </is>
      </c>
      <c r="I44" s="32" t="inlineStr">
        <is>
          <t>ceil(roof_area / 73.0 m²/roll)</t>
        </is>
      </c>
      <c r="J44" s="32" t="inlineStr">
        <is>
          <t>dxf_geometry: roof_area=106.60 m²</t>
        </is>
      </c>
      <c r="K44" s="32" t="inlineStr">
        <is>
          <t>ceil(106.60 / 73.0)</t>
        </is>
      </c>
      <c r="L44" s="32" t="inlineStr">
        <is>
          <t>HIGH</t>
        </is>
      </c>
    </row>
    <row r="45">
      <c r="A45" s="32" t="inlineStr">
        <is>
          <t>B02</t>
        </is>
      </c>
      <c r="B45" s="32" t="inlineStr">
        <is>
          <t>50112</t>
        </is>
      </c>
      <c r="C45" s="32" t="inlineStr">
        <is>
          <t>50112 - Roof &amp; Roof Plumbing</t>
        </is>
      </c>
      <c r="D45" s="32" t="inlineStr">
        <is>
          <t>Roof Tek Screws</t>
        </is>
      </c>
      <c r="E45" s="32" t="inlineStr">
        <is>
          <t>Fixing | Roof Tek Screw, Hex Head, DP</t>
        </is>
      </c>
      <c r="F45" s="32" t="inlineStr">
        <is>
          <t>boxes</t>
        </is>
      </c>
      <c r="G45" s="32" t="n">
        <v>11</v>
      </c>
      <c r="H45" s="32" t="inlineStr">
        <is>
          <t>calculated</t>
        </is>
      </c>
      <c r="I45" s="32" t="inlineStr">
        <is>
          <t>assembly_rule:roof_cladding</t>
        </is>
      </c>
      <c r="J45" s="32" t="inlineStr">
        <is>
          <t>dxf_geometry: roof_area=106.60 m²</t>
        </is>
      </c>
      <c r="K45" s="32" t="inlineStr">
        <is>
          <t>roof_cladding → ceil(x / 10)  [note: 1 box per 10 m² (approx 250 screws/box at 25 screws/m²)]</t>
        </is>
      </c>
      <c r="L45" s="32" t="inlineStr">
        <is>
          <t>MEDIUM</t>
        </is>
      </c>
    </row>
    <row r="46">
      <c r="A46" s="32" t="inlineStr">
        <is>
          <t>B03</t>
        </is>
      </c>
      <c r="B46" s="32" t="inlineStr">
        <is>
          <t>50112</t>
        </is>
      </c>
      <c r="C46" s="32" t="inlineStr">
        <is>
          <t>50112 - Roof &amp; Roof Plumbing</t>
        </is>
      </c>
      <c r="D46" s="32" t="inlineStr">
        <is>
          <t>Roof Cladding Sheet (corrugated / CGI)</t>
        </is>
      </c>
      <c r="E46" s="32" t="inlineStr">
        <is>
          <t>Roof Cladding | Custom Orb Corrugated CGI Sheet</t>
        </is>
      </c>
      <c r="F46" s="32" t="inlineStr">
        <is>
          <t>sheets</t>
        </is>
      </c>
      <c r="G46" s="32" t="n">
        <v>49</v>
      </c>
      <c r="H46" s="32" t="inlineStr">
        <is>
          <t>calculated</t>
        </is>
      </c>
      <c r="I46" s="32" t="inlineStr">
        <is>
          <t>area×waste / (cover_w×sheet_len) = 106.6×1.05/(0.762×3.0m)</t>
        </is>
      </c>
      <c r="J46" s="32" t="inlineStr">
        <is>
          <t>dxf_geometry: roof_area=106.60 m², eaves_lm=42.40 m</t>
        </is>
      </c>
      <c r="K46" s="32" t="inlineStr">
        <is>
          <t>ceil(area × 1.05 / (0.762 × 3.0m))</t>
        </is>
      </c>
      <c r="L46" s="32" t="inlineStr">
        <is>
          <t>MEDIUM</t>
        </is>
      </c>
    </row>
    <row r="47">
      <c r="A47" s="32" t="inlineStr">
        <is>
          <t>B04</t>
        </is>
      </c>
      <c r="B47" s="32" t="inlineStr">
        <is>
          <t>50112</t>
        </is>
      </c>
      <c r="C47" s="32" t="inlineStr">
        <is>
          <t>50112 - Roof &amp; Roof Plumbing</t>
        </is>
      </c>
      <c r="D47" s="32" t="inlineStr">
        <is>
          <t>Ridge Capping</t>
        </is>
      </c>
      <c r="E47" s="32" t="inlineStr">
        <is>
          <t>Ridge Cap | Galvanised, lm</t>
        </is>
      </c>
      <c r="F47" s="32" t="inlineStr">
        <is>
          <t>lm</t>
        </is>
      </c>
      <c r="G47" s="32" t="n">
        <v>10.6</v>
      </c>
      <c r="H47" s="32" t="inlineStr">
        <is>
          <t>calculated</t>
        </is>
      </c>
      <c r="I47" s="32" t="inlineStr">
        <is>
          <t>assembly_rule:roof_ridge</t>
        </is>
      </c>
      <c r="J47" s="32" t="inlineStr">
        <is>
          <t>dxf_geometry: ridge_length=10.60 lm</t>
        </is>
      </c>
      <c r="K47" s="32" t="inlineStr">
        <is>
          <t>roof_ridge → x</t>
        </is>
      </c>
      <c r="L47" s="32" t="inlineStr">
        <is>
          <t>MEDIUM</t>
        </is>
      </c>
    </row>
    <row r="48">
      <c r="A48" s="32" t="inlineStr">
        <is>
          <t>B05</t>
        </is>
      </c>
      <c r="B48" s="32" t="inlineStr">
        <is>
          <t>50112</t>
        </is>
      </c>
      <c r="C48" s="32" t="inlineStr">
        <is>
          <t>50112 - Roof &amp; Roof Plumbing</t>
        </is>
      </c>
      <c r="D48" s="32" t="inlineStr">
        <is>
          <t>Ridge Cap Fixing Screws</t>
        </is>
      </c>
      <c r="E48" s="32" t="inlineStr">
        <is>
          <t>Fixing | Ridge Cap Hex Head Screw</t>
        </is>
      </c>
      <c r="F48" s="32" t="inlineStr">
        <is>
          <t>nr</t>
        </is>
      </c>
      <c r="G48" s="32" t="n">
        <v>36</v>
      </c>
      <c r="H48" s="32" t="inlineStr">
        <is>
          <t>calculated</t>
        </is>
      </c>
      <c r="I48" s="32" t="inlineStr">
        <is>
          <t>assembly_rule:roof_ridge</t>
        </is>
      </c>
      <c r="J48" s="32" t="inlineStr">
        <is>
          <t>dxf_geometry: ridge_length=10.60 lm</t>
        </is>
      </c>
      <c r="K48" s="32" t="inlineStr">
        <is>
          <t>roof_ridge → ceil(x / 0.3)  [note: 1 screw per 300 mm]</t>
        </is>
      </c>
      <c r="L48" s="32" t="inlineStr">
        <is>
          <t>MEDIUM</t>
        </is>
      </c>
    </row>
    <row r="49">
      <c r="A49" s="32" t="inlineStr">
        <is>
          <t>B06</t>
        </is>
      </c>
      <c r="B49" s="32" t="inlineStr">
        <is>
          <t>50112</t>
        </is>
      </c>
      <c r="C49" s="32" t="inlineStr">
        <is>
          <t>50112 - Roof &amp; Roof Plumbing</t>
        </is>
      </c>
      <c r="D49" s="32" t="inlineStr">
        <is>
          <t>Ridge End Cap</t>
        </is>
      </c>
      <c r="E49" s="32" t="inlineStr">
        <is>
          <t>Ridge End Cap | Galvanised</t>
        </is>
      </c>
      <c r="F49" s="32" t="inlineStr">
        <is>
          <t>nr</t>
        </is>
      </c>
      <c r="G49" s="32" t="n">
        <v>2</v>
      </c>
      <c r="H49" s="32" t="inlineStr">
        <is>
          <t>calculated</t>
        </is>
      </c>
      <c r="I49" s="32" t="inlineStr">
        <is>
          <t>assembly_rule:roof_ridge</t>
        </is>
      </c>
      <c r="J49" s="32" t="inlineStr">
        <is>
          <t>dxf_geometry: ridge_length=10.60 lm</t>
        </is>
      </c>
      <c r="K49" s="32" t="inlineStr">
        <is>
          <t>roof_ridge → 2  [note: 2 end caps per ridge run (one each end)]</t>
        </is>
      </c>
      <c r="L49" s="32" t="inlineStr">
        <is>
          <t>MEDIUM</t>
        </is>
      </c>
    </row>
    <row r="50">
      <c r="A50" s="32" t="inlineStr">
        <is>
          <t>B07</t>
        </is>
      </c>
      <c r="B50" s="32" t="inlineStr">
        <is>
          <t>50112</t>
        </is>
      </c>
      <c r="C50" s="32" t="inlineStr">
        <is>
          <t>50112 - Roof &amp; Roof Plumbing</t>
        </is>
      </c>
      <c r="D50" s="32" t="inlineStr">
        <is>
          <t>Fascia Board</t>
        </is>
      </c>
      <c r="E50" s="32" t="inlineStr">
        <is>
          <t>Fascia Board | Galvanised, lm</t>
        </is>
      </c>
      <c r="F50" s="32" t="inlineStr">
        <is>
          <t>lm</t>
        </is>
      </c>
      <c r="G50" s="32" t="n">
        <v>42.4</v>
      </c>
      <c r="H50" s="32" t="inlineStr">
        <is>
          <t>calculated</t>
        </is>
      </c>
      <c r="I50" s="32" t="inlineStr">
        <is>
          <t>assembly_rule:roof_eaves</t>
        </is>
      </c>
      <c r="J50" s="32" t="inlineStr">
        <is>
          <t>dxf_geometry: eaves_length=42.40 lm</t>
        </is>
      </c>
      <c r="K50" s="32" t="inlineStr">
        <is>
          <t>roof_eaves → x</t>
        </is>
      </c>
      <c r="L50" s="32" t="inlineStr">
        <is>
          <t>MEDIUM</t>
        </is>
      </c>
    </row>
    <row r="51">
      <c r="A51" s="32" t="inlineStr">
        <is>
          <t>B08</t>
        </is>
      </c>
      <c r="B51" s="32" t="inlineStr">
        <is>
          <t>50112</t>
        </is>
      </c>
      <c r="C51" s="32" t="inlineStr">
        <is>
          <t>50112 - Roof &amp; Roof Plumbing</t>
        </is>
      </c>
      <c r="D51" s="32" t="inlineStr">
        <is>
          <t>Fascia Clips</t>
        </is>
      </c>
      <c r="E51" s="32" t="inlineStr">
        <is>
          <t>Fascia | Clips</t>
        </is>
      </c>
      <c r="F51" s="32" t="inlineStr">
        <is>
          <t>nr</t>
        </is>
      </c>
      <c r="G51" s="32" t="n">
        <v>71</v>
      </c>
      <c r="H51" s="32" t="inlineStr">
        <is>
          <t>calculated</t>
        </is>
      </c>
      <c r="I51" s="32" t="inlineStr">
        <is>
          <t>assembly_rule:roof_eaves</t>
        </is>
      </c>
      <c r="J51" s="32" t="inlineStr">
        <is>
          <t>dxf_geometry: eaves_length=42.40 lm</t>
        </is>
      </c>
      <c r="K51" s="32" t="inlineStr">
        <is>
          <t>roof_eaves → ceil(x / 0.6)  [note: 1 clip per 600 mm]</t>
        </is>
      </c>
      <c r="L51" s="32" t="inlineStr">
        <is>
          <t>MEDIUM</t>
        </is>
      </c>
    </row>
    <row r="52">
      <c r="A52" s="32" t="inlineStr">
        <is>
          <t>B09</t>
        </is>
      </c>
      <c r="B52" s="32" t="inlineStr">
        <is>
          <t>50112</t>
        </is>
      </c>
      <c r="C52" s="32" t="inlineStr">
        <is>
          <t>50112 - Roof &amp; Roof Plumbing</t>
        </is>
      </c>
      <c r="D52" s="32" t="inlineStr">
        <is>
          <t>Birdproof Foam Strip</t>
        </is>
      </c>
      <c r="E52" s="32" t="inlineStr">
        <is>
          <t>Accessories | Birdproof Foam Strip</t>
        </is>
      </c>
      <c r="F52" s="32" t="inlineStr">
        <is>
          <t>lm</t>
        </is>
      </c>
      <c r="G52" s="32" t="n">
        <v>42.4</v>
      </c>
      <c r="H52" s="32" t="inlineStr">
        <is>
          <t>calculated</t>
        </is>
      </c>
      <c r="I52" s="32" t="inlineStr">
        <is>
          <t>assembly_rule:roof_eaves</t>
        </is>
      </c>
      <c r="J52" s="32" t="inlineStr">
        <is>
          <t>dxf_geometry: eaves_length=42.40 lm</t>
        </is>
      </c>
      <c r="K52" s="32" t="inlineStr">
        <is>
          <t>roof_eaves → x  [note: runs full eaves length]</t>
        </is>
      </c>
      <c r="L52" s="32" t="inlineStr">
        <is>
          <t>MEDIUM</t>
        </is>
      </c>
    </row>
    <row r="53">
      <c r="A53" s="32" t="inlineStr">
        <is>
          <t>B10</t>
        </is>
      </c>
      <c r="B53" s="32" t="inlineStr">
        <is>
          <t>50112</t>
        </is>
      </c>
      <c r="C53" s="32" t="inlineStr">
        <is>
          <t>50112 - Roof &amp; Roof Plumbing</t>
        </is>
      </c>
      <c r="D53" s="32" t="inlineStr">
        <is>
          <t>Eaves Gutter</t>
        </is>
      </c>
      <c r="E53" s="32" t="inlineStr">
        <is>
          <t>SL-14 | PVC Box Gutter</t>
        </is>
      </c>
      <c r="F53" s="32" t="inlineStr">
        <is>
          <t>lm</t>
        </is>
      </c>
      <c r="G53" s="32" t="n">
        <v>42.4</v>
      </c>
      <c r="H53" s="32" t="inlineStr">
        <is>
          <t>calculated</t>
        </is>
      </c>
      <c r="I53" s="32" t="inlineStr">
        <is>
          <t>assembly_rule:roof_eaves</t>
        </is>
      </c>
      <c r="J53" s="32" t="inlineStr">
        <is>
          <t>dxf_geometry: eaves_length=42.40 lm</t>
        </is>
      </c>
      <c r="K53" s="32" t="inlineStr">
        <is>
          <t>roof_eaves → x</t>
        </is>
      </c>
      <c r="L53" s="32" t="inlineStr">
        <is>
          <t>MEDIUM</t>
        </is>
      </c>
    </row>
    <row r="54">
      <c r="A54" s="32" t="inlineStr">
        <is>
          <t>B11</t>
        </is>
      </c>
      <c r="B54" s="32" t="inlineStr">
        <is>
          <t>50112</t>
        </is>
      </c>
      <c r="C54" s="32" t="inlineStr">
        <is>
          <t>50112 - Roof &amp; Roof Plumbing</t>
        </is>
      </c>
      <c r="D54" s="32" t="inlineStr">
        <is>
          <t>Gutter Joiner</t>
        </is>
      </c>
      <c r="E54" s="32" t="inlineStr">
        <is>
          <t>SL-14 | PVC Gutter Joiner</t>
        </is>
      </c>
      <c r="F54" s="32" t="inlineStr">
        <is>
          <t>nr</t>
        </is>
      </c>
      <c r="G54" s="32" t="n">
        <v>3</v>
      </c>
      <c r="H54" s="32" t="inlineStr">
        <is>
          <t>calculated</t>
        </is>
      </c>
      <c r="I54" s="32" t="inlineStr">
        <is>
          <t>assembly_rule:roof_eaves</t>
        </is>
      </c>
      <c r="J54" s="32" t="inlineStr">
        <is>
          <t>dxf_geometry: eaves_length=42.40 lm</t>
        </is>
      </c>
      <c r="K54" s="32" t="inlineStr">
        <is>
          <t>roof_eaves → max(0, ceil(x / 6.0) - ceil(x / 10))  [note: PVC box gutter 6 m stock: joiners = total_lengths − estimated_run_count (≈eaves/10 m per run)]</t>
        </is>
      </c>
      <c r="L54" s="32" t="inlineStr">
        <is>
          <t>MEDIUM</t>
        </is>
      </c>
    </row>
    <row r="55">
      <c r="A55" s="32" t="inlineStr">
        <is>
          <t>B12</t>
        </is>
      </c>
      <c r="B55" s="32" t="inlineStr">
        <is>
          <t>50112</t>
        </is>
      </c>
      <c r="C55" s="32" t="inlineStr">
        <is>
          <t>50112 - Roof &amp; Roof Plumbing</t>
        </is>
      </c>
      <c r="D55" s="32" t="inlineStr">
        <is>
          <t>Gutter Stop End</t>
        </is>
      </c>
      <c r="E55" s="32" t="inlineStr">
        <is>
          <t>SL-14 | PVC Gutter Stop End</t>
        </is>
      </c>
      <c r="F55" s="32" t="inlineStr">
        <is>
          <t>nr</t>
        </is>
      </c>
      <c r="G55" s="32" t="n">
        <v>6</v>
      </c>
      <c r="H55" s="32" t="inlineStr">
        <is>
          <t>calculated</t>
        </is>
      </c>
      <c r="I55" s="32" t="inlineStr">
        <is>
          <t>assembly_rule:roof_eaves</t>
        </is>
      </c>
      <c r="J55" s="32" t="inlineStr">
        <is>
          <t>dxf_geometry: eaves_length=42.40 lm</t>
        </is>
      </c>
      <c r="K55" s="32" t="inlineStr">
        <is>
          <t>roof_eaves → max(2, ceil(x / 20) * 2)  [note: 2 per run; add 2 per extra run &gt; 20 m]</t>
        </is>
      </c>
      <c r="L55" s="32" t="inlineStr">
        <is>
          <t>MEDIUM</t>
        </is>
      </c>
    </row>
    <row r="56">
      <c r="A56" s="32" t="inlineStr">
        <is>
          <t>B13</t>
        </is>
      </c>
      <c r="B56" s="32" t="inlineStr">
        <is>
          <t>50112</t>
        </is>
      </c>
      <c r="C56" s="32" t="inlineStr">
        <is>
          <t>50112 - Roof &amp; Roof Plumbing</t>
        </is>
      </c>
      <c r="D56" s="32" t="inlineStr">
        <is>
          <t>Barge Capping</t>
        </is>
      </c>
      <c r="E56" s="32" t="inlineStr">
        <is>
          <t>Barge Cap | Galvanised, lm</t>
        </is>
      </c>
      <c r="F56" s="32" t="inlineStr">
        <is>
          <t>lm</t>
        </is>
      </c>
      <c r="G56" s="32" t="n">
        <v>8.5</v>
      </c>
      <c r="H56" s="32" t="inlineStr">
        <is>
          <t>calculated</t>
        </is>
      </c>
      <c r="I56" s="32" t="inlineStr">
        <is>
          <t>assembly_rule:roof_barge</t>
        </is>
      </c>
      <c r="J56" s="32" t="inlineStr">
        <is>
          <t>dxf_geometry: barge_length=8.50 lm</t>
        </is>
      </c>
      <c r="K56" s="32" t="inlineStr">
        <is>
          <t>roof_barge → x</t>
        </is>
      </c>
      <c r="L56" s="32" t="inlineStr">
        <is>
          <t>LOW</t>
        </is>
      </c>
    </row>
    <row r="57">
      <c r="A57" s="32" t="inlineStr">
        <is>
          <t>B14</t>
        </is>
      </c>
      <c r="B57" s="32" t="inlineStr">
        <is>
          <t>50112</t>
        </is>
      </c>
      <c r="C57" s="32" t="inlineStr">
        <is>
          <t>50112 - Roof &amp; Roof Plumbing</t>
        </is>
      </c>
      <c r="D57" s="32" t="inlineStr">
        <is>
          <t>Barge End Cap</t>
        </is>
      </c>
      <c r="E57" s="32" t="inlineStr">
        <is>
          <t>Barge End Cap | Galvanised</t>
        </is>
      </c>
      <c r="F57" s="32" t="inlineStr">
        <is>
          <t>nr</t>
        </is>
      </c>
      <c r="G57" s="32" t="n">
        <v>2</v>
      </c>
      <c r="H57" s="32" t="inlineStr">
        <is>
          <t>calculated</t>
        </is>
      </c>
      <c r="I57" s="32" t="inlineStr">
        <is>
          <t>assembly_rule:roof_barge</t>
        </is>
      </c>
      <c r="J57" s="32" t="inlineStr">
        <is>
          <t>dxf_geometry: barge_length=8.50 lm</t>
        </is>
      </c>
      <c r="K57" s="32" t="inlineStr">
        <is>
          <t>roof_barge → 2  [note: 2 end caps per barge run (ridge peak and eaves)]</t>
        </is>
      </c>
      <c r="L57" s="32" t="inlineStr">
        <is>
          <t>LOW</t>
        </is>
      </c>
    </row>
    <row r="58">
      <c r="A58" s="32" t="inlineStr">
        <is>
          <t>B15</t>
        </is>
      </c>
      <c r="B58" s="32" t="inlineStr">
        <is>
          <t>50112</t>
        </is>
      </c>
      <c r="C58" s="32" t="inlineStr">
        <is>
          <t>50112 - Roof &amp; Roof Plumbing</t>
        </is>
      </c>
      <c r="D58" s="32" t="inlineStr">
        <is>
          <t>PVC Downpipe</t>
        </is>
      </c>
      <c r="E58" s="32" t="inlineStr">
        <is>
          <t>SL-14 | PVC Downpipe, 68mm</t>
        </is>
      </c>
      <c r="F58" s="32" t="inlineStr">
        <is>
          <t>nr</t>
        </is>
      </c>
      <c r="G58" s="32" t="n">
        <v>6</v>
      </c>
      <c r="H58" s="32" t="inlineStr">
        <is>
          <t>calculated</t>
        </is>
      </c>
      <c r="I58" s="32" t="inlineStr">
        <is>
          <t>assembly_rule:roof_drainage</t>
        </is>
      </c>
      <c r="J58" s="32" t="inlineStr">
        <is>
          <t>dxf_geometry: downpipe_count=6</t>
        </is>
      </c>
      <c r="K58" s="32" t="inlineStr">
        <is>
          <t>roof_drainage → x</t>
        </is>
      </c>
      <c r="L58" s="32" t="inlineStr">
        <is>
          <t>MEDIUM</t>
        </is>
      </c>
    </row>
    <row r="59">
      <c r="A59" s="32" t="inlineStr">
        <is>
          <t>B16</t>
        </is>
      </c>
      <c r="B59" s="32" t="inlineStr">
        <is>
          <t>50112</t>
        </is>
      </c>
      <c r="C59" s="32" t="inlineStr">
        <is>
          <t>50112 - Roof &amp; Roof Plumbing</t>
        </is>
      </c>
      <c r="D59" s="32" t="inlineStr">
        <is>
          <t>Gutter Drop Outlet</t>
        </is>
      </c>
      <c r="E59" s="32" t="inlineStr">
        <is>
          <t>SL-14 | PVC Gutter Drop Outlet</t>
        </is>
      </c>
      <c r="F59" s="32" t="inlineStr">
        <is>
          <t>nr</t>
        </is>
      </c>
      <c r="G59" s="32" t="n">
        <v>6</v>
      </c>
      <c r="H59" s="32" t="inlineStr">
        <is>
          <t>calculated</t>
        </is>
      </c>
      <c r="I59" s="32" t="inlineStr">
        <is>
          <t>assembly_rule:roof_drainage</t>
        </is>
      </c>
      <c r="J59" s="32" t="inlineStr">
        <is>
          <t>dxf_geometry: downpipe_count=6</t>
        </is>
      </c>
      <c r="K59" s="32" t="inlineStr">
        <is>
          <t>roof_drainage → x</t>
        </is>
      </c>
      <c r="L59" s="32" t="inlineStr">
        <is>
          <t>MEDIUM</t>
        </is>
      </c>
    </row>
    <row r="60">
      <c r="A60" s="32" t="inlineStr">
        <is>
          <t>B17</t>
        </is>
      </c>
      <c r="B60" s="32" t="inlineStr">
        <is>
          <t>50112</t>
        </is>
      </c>
      <c r="C60" s="32" t="inlineStr">
        <is>
          <t>50112 - Roof &amp; Roof Plumbing</t>
        </is>
      </c>
      <c r="D60" s="32" t="inlineStr">
        <is>
          <t>Downpipe Elbow (90°)</t>
        </is>
      </c>
      <c r="E60" s="32" t="inlineStr">
        <is>
          <t>SL-14 | PVC Downpipe Elbow, 90°</t>
        </is>
      </c>
      <c r="F60" s="32" t="inlineStr">
        <is>
          <t>nr</t>
        </is>
      </c>
      <c r="G60" s="32" t="n">
        <v>12</v>
      </c>
      <c r="H60" s="32" t="inlineStr">
        <is>
          <t>calculated</t>
        </is>
      </c>
      <c r="I60" s="32" t="inlineStr">
        <is>
          <t>assembly_rule:roof_drainage</t>
        </is>
      </c>
      <c r="J60" s="32" t="inlineStr">
        <is>
          <t>dxf_geometry: downpipe_count=6</t>
        </is>
      </c>
      <c r="K60" s="32" t="inlineStr">
        <is>
          <t>roof_drainage → x * 2  [note: top + bottom elbow per downpipe]</t>
        </is>
      </c>
      <c r="L60" s="32" t="inlineStr">
        <is>
          <t>MEDIUM</t>
        </is>
      </c>
    </row>
    <row r="61">
      <c r="A61" s="32" t="inlineStr">
        <is>
          <t>B18</t>
        </is>
      </c>
      <c r="B61" s="32" t="inlineStr">
        <is>
          <t>50112</t>
        </is>
      </c>
      <c r="C61" s="32" t="inlineStr">
        <is>
          <t>50112 - Roof &amp; Roof Plumbing</t>
        </is>
      </c>
      <c r="D61" s="32" t="inlineStr">
        <is>
          <t>Downpipe Clip / Saddle</t>
        </is>
      </c>
      <c r="E61" s="32" t="inlineStr">
        <is>
          <t>SL-14 | PVC Downpipe Clip</t>
        </is>
      </c>
      <c r="F61" s="32" t="inlineStr">
        <is>
          <t>nr</t>
        </is>
      </c>
      <c r="G61" s="32" t="n">
        <v>18</v>
      </c>
      <c r="H61" s="32" t="inlineStr">
        <is>
          <t>calculated</t>
        </is>
      </c>
      <c r="I61" s="32" t="inlineStr">
        <is>
          <t>assembly_rule:roof_drainage</t>
        </is>
      </c>
      <c r="J61" s="32" t="inlineStr">
        <is>
          <t>dxf_geometry: downpipe_count=6</t>
        </is>
      </c>
      <c r="K61" s="32" t="inlineStr">
        <is>
          <t>roof_drainage → x * 3  [note: approx 3 clips per 3 m drop]</t>
        </is>
      </c>
      <c r="L61" s="32" t="inlineStr">
        <is>
          <t>MEDIUM</t>
        </is>
      </c>
    </row>
    <row r="62">
      <c r="A62" s="32" t="inlineStr">
        <is>
          <t>K04</t>
        </is>
      </c>
      <c r="B62" s="32" t="inlineStr">
        <is>
          <t>50113</t>
        </is>
      </c>
      <c r="C62" s="32" t="inlineStr">
        <is>
          <t>50113 - External Cladding</t>
        </is>
      </c>
      <c r="D62" s="32" t="inlineStr">
        <is>
          <t>External Wall Cladding — FC Weatherboard (supply &amp; fix)</t>
        </is>
      </c>
      <c r="E62" s="32" t="inlineStr">
        <is>
          <t>External Cladding | FC Weatherboard</t>
        </is>
      </c>
      <c r="F62" s="32" t="inlineStr">
        <is>
          <t>m2</t>
        </is>
      </c>
      <c r="G62" s="32" t="n">
        <v>87.14</v>
      </c>
      <c r="H62" s="32" t="inlineStr">
        <is>
          <t>calculated</t>
        </is>
      </c>
      <c r="I62" s="32" t="inlineStr">
        <is>
          <t>ext_wall_lm(38.40) × wall_h(2.4) − opening_area</t>
        </is>
      </c>
      <c r="J62" s="32" t="inlineStr">
        <is>
          <t>dxf_geometry: ext_wall_perimeter=38.40 m, h=2.4 m</t>
        </is>
      </c>
      <c r="K62" s="32" t="inlineStr">
        <is>
          <t>38.40 × 2.4 − 5.02</t>
        </is>
      </c>
      <c r="L62" s="32" t="inlineStr">
        <is>
          <t>HIGH</t>
        </is>
      </c>
    </row>
    <row r="63">
      <c r="A63" s="32" t="inlineStr">
        <is>
          <t>K05</t>
        </is>
      </c>
      <c r="B63" s="32" t="inlineStr">
        <is>
          <t>50113</t>
        </is>
      </c>
      <c r="C63" s="32" t="inlineStr">
        <is>
          <t>50113 - External Cladding</t>
        </is>
      </c>
      <c r="D63" s="32" t="inlineStr">
        <is>
          <t>FC Weatherboard — Board Count</t>
        </is>
      </c>
      <c r="E63" s="32" t="inlineStr">
        <is>
          <t>External Cladding | FC Weatherboard</t>
        </is>
      </c>
      <c r="F63" s="32" t="inlineStr">
        <is>
          <t>nr</t>
        </is>
      </c>
      <c r="G63" s="32" t="n">
        <v>126</v>
      </c>
      <c r="H63" s="32" t="inlineStr">
        <is>
          <t>calculated</t>
        </is>
      </c>
      <c r="I63" s="32" t="inlineStr">
        <is>
          <t>rows_of_boards=12 (h=2400mm / 200mm exp) × boards_per_row=10 (lm=38.4m / 4.2m) × waste=1.05</t>
        </is>
      </c>
      <c r="J63" s="32" t="inlineStr">
        <is>
          <t>dxf_geometry: ext_lm=38.40 m, wall_h=2.4 m</t>
        </is>
      </c>
      <c r="K63" s="32" t="inlineStr">
        <is>
          <t>ceil(h/exp) × ceil(lm/board_l) × waste</t>
        </is>
      </c>
      <c r="L63" s="32" t="inlineStr">
        <is>
          <t>MEDIUM</t>
        </is>
      </c>
    </row>
    <row r="64">
      <c r="A64" s="32" t="inlineStr">
        <is>
          <t>K06</t>
        </is>
      </c>
      <c r="B64" s="32" t="inlineStr">
        <is>
          <t>50113</t>
        </is>
      </c>
      <c r="C64" s="32" t="inlineStr">
        <is>
          <t>50113 - External Cladding</t>
        </is>
      </c>
      <c r="D64" s="32" t="inlineStr">
        <is>
          <t>FC Weatherboard H-Joiner Extrusion</t>
        </is>
      </c>
      <c r="E64" s="32" t="inlineStr">
        <is>
          <t>External Cladding | FC Weatherboard</t>
        </is>
      </c>
      <c r="F64" s="32" t="inlineStr">
        <is>
          <t>nr</t>
        </is>
      </c>
      <c r="G64" s="32" t="n">
        <v>72</v>
      </c>
      <c r="H64" s="32" t="inlineStr">
        <is>
          <t>calculated</t>
        </is>
      </c>
      <c r="I64" s="32" t="inlineStr">
        <is>
          <t>per-façade: 2×L-face (2×2=4 joiners/row) + 2×W-face (1×2=2 joiners/row) × 12 rows; derived from floor L=12.0m W=7.2m</t>
        </is>
      </c>
      <c r="J64" s="32" t="inlineStr">
        <is>
          <t>dxf_geometry: floor_area=86.4m² + ext_perim=38.4m → L=12.0m W=7.2m</t>
        </is>
      </c>
      <c r="K64" s="32" t="inlineStr">
        <is>
          <t>per-façade: joiners per face × rows_of_boards</t>
        </is>
      </c>
      <c r="L64" s="32" t="inlineStr">
        <is>
          <t>MEDIUM</t>
        </is>
      </c>
    </row>
    <row r="65">
      <c r="A65" s="32" t="inlineStr">
        <is>
          <t>K07</t>
        </is>
      </c>
      <c r="B65" s="32" t="inlineStr">
        <is>
          <t>50113</t>
        </is>
      </c>
      <c r="C65" s="32" t="inlineStr">
        <is>
          <t>50113 - External Cladding</t>
        </is>
      </c>
      <c r="D65" s="32" t="inlineStr">
        <is>
          <t>External Corner Flashing (FC cladding)</t>
        </is>
      </c>
      <c r="E65" s="32" t="inlineStr">
        <is>
          <t>External Cladding | Corner Flashing, Galvanised</t>
        </is>
      </c>
      <c r="F65" s="32" t="inlineStr">
        <is>
          <t>nr</t>
        </is>
      </c>
      <c r="G65" s="32" t="n">
        <v>4</v>
      </c>
      <c r="H65" s="32" t="inlineStr">
        <is>
          <t>inferred</t>
        </is>
      </c>
      <c r="I65" s="32" t="inlineStr">
        <is>
          <t>rectangular footprint: L=12.0m × W=7.2m (2×(L+W)=38.4m ≈ measured perim 38.4m)</t>
        </is>
      </c>
      <c r="J65" s="32" t="inlineStr">
        <is>
          <t>dxf_geometry: ext_wall_perimeter=38.4m, floor_area=86.4m² → L=12.0m W=7.2m</t>
        </is>
      </c>
      <c r="K65" s="32" t="inlineStr">
        <is>
          <t>geometry-derived corner count</t>
        </is>
      </c>
      <c r="L65" s="32" t="inlineStr">
        <is>
          <t>MEDIUM</t>
        </is>
      </c>
    </row>
    <row r="66">
      <c r="A66" s="32" t="inlineStr">
        <is>
          <t>K08</t>
        </is>
      </c>
      <c r="B66" s="32" t="inlineStr">
        <is>
          <t>50113</t>
        </is>
      </c>
      <c r="C66" s="32" t="inlineStr">
        <is>
          <t>50113 - External Cladding</t>
        </is>
      </c>
      <c r="D66" s="32" t="inlineStr">
        <is>
          <t>External Corner Trim / Angle Bead</t>
        </is>
      </c>
      <c r="E66" s="32" t="inlineStr">
        <is>
          <t>External Cladding | Corner Trim / Angle Bead</t>
        </is>
      </c>
      <c r="F66" s="32" t="inlineStr">
        <is>
          <t>lm</t>
        </is>
      </c>
      <c r="G66" s="32" t="n">
        <v>9.6</v>
      </c>
      <c r="H66" s="32" t="inlineStr">
        <is>
          <t>calculated</t>
        </is>
      </c>
      <c r="I66" s="32" t="inlineStr">
        <is>
          <t>ext_corners(4) × wall_h(2.4m)</t>
        </is>
      </c>
      <c r="J66" s="32" t="inlineStr">
        <is>
          <t>derived: 4 corners × 2.4 m</t>
        </is>
      </c>
      <c r="K66" s="32" t="inlineStr">
        <is>
          <t>corners × wall_height</t>
        </is>
      </c>
      <c r="L66" s="32" t="inlineStr">
        <is>
          <t>MEDIUM</t>
        </is>
      </c>
    </row>
    <row r="67">
      <c r="A67" s="32" t="inlineStr">
        <is>
          <t>K09</t>
        </is>
      </c>
      <c r="B67" s="32" t="inlineStr">
        <is>
          <t>50113</t>
        </is>
      </c>
      <c r="C67" s="32" t="inlineStr">
        <is>
          <t>50113 - External Cladding</t>
        </is>
      </c>
      <c r="D67" s="32" t="inlineStr">
        <is>
          <t>FC Weatherboard Stud Fixing Clip</t>
        </is>
      </c>
      <c r="E67" s="32" t="inlineStr">
        <is>
          <t>External Cladding | FC Weatherboard</t>
        </is>
      </c>
      <c r="F67" s="32" t="inlineStr">
        <is>
          <t>nr</t>
        </is>
      </c>
      <c r="G67" s="32" t="n">
        <v>768</v>
      </c>
      <c r="H67" s="32" t="inlineStr">
        <is>
          <t>calculated</t>
        </is>
      </c>
      <c r="I67" s="32" t="inlineStr">
        <is>
          <t>studs(64) × rows_of_boards(12) [stud_spacing=600mm]</t>
        </is>
      </c>
      <c r="J67" s="32" t="inlineStr">
        <is>
          <t>dxf_geometry: ext_lm=38.40 m, stud_spacing=600mm</t>
        </is>
      </c>
      <c r="K67" s="32" t="inlineStr">
        <is>
          <t>ceil(ext_lm × studs_per_m) × rows_of_boards</t>
        </is>
      </c>
      <c r="L67" s="32" t="inlineStr">
        <is>
          <t>MEDIUM</t>
        </is>
      </c>
    </row>
    <row r="68">
      <c r="A68" s="32" t="inlineStr">
        <is>
          <t>K10</t>
        </is>
      </c>
      <c r="B68" s="32" t="inlineStr">
        <is>
          <t>50113</t>
        </is>
      </c>
      <c r="C68" s="32" t="inlineStr">
        <is>
          <t>50113 - External Cladding</t>
        </is>
      </c>
      <c r="D68" s="32" t="inlineStr">
        <is>
          <t>Stainless Steel Screw — Cladding Fix</t>
        </is>
      </c>
      <c r="E68" s="32" t="inlineStr">
        <is>
          <t>Fixing | Stainless Steel Screw (Cladding)</t>
        </is>
      </c>
      <c r="F68" s="32" t="inlineStr">
        <is>
          <t>nr</t>
        </is>
      </c>
      <c r="G68" s="32" t="n">
        <v>1536</v>
      </c>
      <c r="H68" s="32" t="inlineStr">
        <is>
          <t>calculated</t>
        </is>
      </c>
      <c r="I68" s="32" t="inlineStr">
        <is>
          <t>stud_clips(768) × 2 screws per clip</t>
        </is>
      </c>
      <c r="J68" s="32" t="inlineStr">
        <is>
          <t>derived from clip count: 768</t>
        </is>
      </c>
      <c r="K68" s="32" t="inlineStr">
        <is>
          <t>clip_count × 2</t>
        </is>
      </c>
      <c r="L68" s="32" t="inlineStr">
        <is>
          <t>LOW</t>
        </is>
      </c>
    </row>
    <row r="69">
      <c r="A69" s="32" t="inlineStr">
        <is>
          <t>K11</t>
        </is>
      </c>
      <c r="B69" s="32" t="inlineStr">
        <is>
          <t>50113</t>
        </is>
      </c>
      <c r="C69" s="32" t="inlineStr">
        <is>
          <t>50113 - External Cladding</t>
        </is>
      </c>
      <c r="D69" s="32" t="inlineStr">
        <is>
          <t>Building Wrap / Sarking — External Wall</t>
        </is>
      </c>
      <c r="E69" s="32" t="inlineStr">
        <is>
          <t>Accessories | Building Wrap / Sarking</t>
        </is>
      </c>
      <c r="F69" s="32" t="inlineStr">
        <is>
          <t>m2</t>
        </is>
      </c>
      <c r="G69" s="32" t="n">
        <v>96.77</v>
      </c>
      <c r="H69" s="32" t="inlineStr">
        <is>
          <t>calculated</t>
        </is>
      </c>
      <c r="I69" s="32" t="inlineStr">
        <is>
          <t>gross_wall_area(92.16) × 1.05 overlap</t>
        </is>
      </c>
      <c r="J69" s="32" t="inlineStr">
        <is>
          <t>dxf_geometry: ext_lm=38.40 m × wall_h=2.4 m</t>
        </is>
      </c>
      <c r="K69" s="32" t="inlineStr">
        <is>
          <t>ext_lm × wall_h × 1.05</t>
        </is>
      </c>
      <c r="L69" s="32" t="inlineStr">
        <is>
          <t>MEDIUM</t>
        </is>
      </c>
    </row>
    <row r="70">
      <c r="A70" s="32" t="inlineStr">
        <is>
          <t>K12</t>
        </is>
      </c>
      <c r="B70" s="32" t="inlineStr">
        <is>
          <t>50113</t>
        </is>
      </c>
      <c r="C70" s="32" t="inlineStr">
        <is>
          <t>50113 - External Cladding</t>
        </is>
      </c>
      <c r="D70" s="32" t="inlineStr">
        <is>
          <t>Verandah Decking / Slab</t>
        </is>
      </c>
      <c r="E70" s="32" t="inlineStr">
        <is>
          <t>External Works | Verandah Decking</t>
        </is>
      </c>
      <c r="F70" s="32" t="inlineStr">
        <is>
          <t>m2</t>
        </is>
      </c>
      <c r="G70" s="32" t="n">
        <v>21.6</v>
      </c>
      <c r="H70" s="32" t="inlineStr">
        <is>
          <t>measured</t>
        </is>
      </c>
      <c r="I70" s="32" t="inlineStr">
        <is>
          <t>DXF VERANDAH LWPOLYLINE area</t>
        </is>
      </c>
      <c r="J70" s="32" t="inlineStr">
        <is>
          <t>dxf_geometry: verandah_area=21.60 m²</t>
        </is>
      </c>
      <c r="K70" s="32">
        <f> verandah_area_m2</f>
        <v/>
      </c>
      <c r="L70" s="32" t="inlineStr">
        <is>
          <t>HIGH</t>
        </is>
      </c>
    </row>
    <row r="71">
      <c r="A71" s="32" t="inlineStr">
        <is>
          <t>K13</t>
        </is>
      </c>
      <c r="B71" s="32" t="inlineStr">
        <is>
          <t>50113</t>
        </is>
      </c>
      <c r="C71" s="32" t="inlineStr">
        <is>
          <t>50113 - External Cladding</t>
        </is>
      </c>
      <c r="D71" s="32" t="inlineStr">
        <is>
          <t>Site Preparation (Provisional)</t>
        </is>
      </c>
      <c r="E71" s="32" t="inlineStr">
        <is>
          <t>Substructure | Site Preparation (Provisional)</t>
        </is>
      </c>
      <c r="F71" s="32" t="inlineStr">
        <is>
          <t>item</t>
        </is>
      </c>
      <c r="G71" s="32" t="n">
        <v>0</v>
      </c>
      <c r="H71" s="32" t="inlineStr">
        <is>
          <t>placeholder</t>
        </is>
      </c>
      <c r="I71" s="32" t="inlineStr">
        <is>
          <t>provisional allowance — no site survey</t>
        </is>
      </c>
      <c r="J71" s="32" t="inlineStr">
        <is>
          <t>no site survey in sources</t>
        </is>
      </c>
      <c r="K71" s="32" t="inlineStr">
        <is>
          <t>manual review required</t>
        </is>
      </c>
      <c r="L71" s="32" t="inlineStr">
        <is>
          <t>LOW</t>
        </is>
      </c>
    </row>
    <row r="72">
      <c r="A72" s="32" t="inlineStr">
        <is>
          <t>D01</t>
        </is>
      </c>
      <c r="B72" s="32" t="inlineStr">
        <is>
          <t>50114</t>
        </is>
      </c>
      <c r="C72" s="32" t="inlineStr">
        <is>
          <t>50114 - Openings</t>
        </is>
      </c>
      <c r="D72" s="32" t="inlineStr">
        <is>
          <t>Door — DOOR_90 (920mm)</t>
        </is>
      </c>
      <c r="E72" s="32" t="inlineStr">
        <is>
          <t>Door | 920mm Wide (DOOR_90)</t>
        </is>
      </c>
      <c r="F72" s="32" t="inlineStr">
        <is>
          <t>nr</t>
        </is>
      </c>
      <c r="G72" s="32" t="n">
        <v>1</v>
      </c>
      <c r="H72" s="32" t="inlineStr">
        <is>
          <t>measured</t>
        </is>
      </c>
      <c r="I72" s="32" t="inlineStr">
        <is>
          <t>count from source</t>
        </is>
      </c>
      <c r="J72" s="32" t="inlineStr">
        <is>
          <t>dxf_blocks: mark=DOOR_90 count=1</t>
        </is>
      </c>
      <c r="K72" s="32" t="inlineStr">
        <is>
          <t>direct count</t>
        </is>
      </c>
      <c r="L72" s="32" t="inlineStr">
        <is>
          <t>HIGH</t>
        </is>
      </c>
    </row>
    <row r="73">
      <c r="A73" s="32" t="inlineStr">
        <is>
          <t>D02</t>
        </is>
      </c>
      <c r="B73" s="32" t="inlineStr">
        <is>
          <t>50114</t>
        </is>
      </c>
      <c r="C73" s="32" t="inlineStr">
        <is>
          <t>50114 - Openings</t>
        </is>
      </c>
      <c r="D73" s="32" t="inlineStr">
        <is>
          <t>Door — DOOR_82 (820mm)</t>
        </is>
      </c>
      <c r="E73" s="32" t="inlineStr">
        <is>
          <t>Door | 820mm Wide (DOOR_82)</t>
        </is>
      </c>
      <c r="F73" s="32" t="inlineStr">
        <is>
          <t>nr</t>
        </is>
      </c>
      <c r="G73" s="32" t="n">
        <v>4</v>
      </c>
      <c r="H73" s="32" t="inlineStr">
        <is>
          <t>measured</t>
        </is>
      </c>
      <c r="I73" s="32" t="inlineStr">
        <is>
          <t>count from source</t>
        </is>
      </c>
      <c r="J73" s="32" t="inlineStr">
        <is>
          <t>dxf_blocks: mark=DOOR_82 count=4</t>
        </is>
      </c>
      <c r="K73" s="32" t="inlineStr">
        <is>
          <t>direct count</t>
        </is>
      </c>
      <c r="L73" s="32" t="inlineStr">
        <is>
          <t>HIGH</t>
        </is>
      </c>
    </row>
    <row r="74">
      <c r="A74" s="32" t="inlineStr">
        <is>
          <t>D03</t>
        </is>
      </c>
      <c r="B74" s="32" t="inlineStr">
        <is>
          <t>50114</t>
        </is>
      </c>
      <c r="C74" s="32" t="inlineStr">
        <is>
          <t>50114 - Openings</t>
        </is>
      </c>
      <c r="D74" s="32" t="inlineStr">
        <is>
          <t>Door — DOOR_72 (720mm)</t>
        </is>
      </c>
      <c r="E74" s="32" t="inlineStr">
        <is>
          <t>Door | 720mm Wide (DOOR_72)</t>
        </is>
      </c>
      <c r="F74" s="32" t="inlineStr">
        <is>
          <t>nr</t>
        </is>
      </c>
      <c r="G74" s="32" t="n">
        <v>1</v>
      </c>
      <c r="H74" s="32" t="inlineStr">
        <is>
          <t>measured</t>
        </is>
      </c>
      <c r="I74" s="32" t="inlineStr">
        <is>
          <t>count from source</t>
        </is>
      </c>
      <c r="J74" s="32" t="inlineStr">
        <is>
          <t>dxf_blocks: mark=DOOR_72 count=1</t>
        </is>
      </c>
      <c r="K74" s="32" t="inlineStr">
        <is>
          <t>direct count</t>
        </is>
      </c>
      <c r="L74" s="32" t="inlineStr">
        <is>
          <t>HIGH</t>
        </is>
      </c>
    </row>
    <row r="75">
      <c r="A75" s="32" t="inlineStr">
        <is>
          <t>D04</t>
        </is>
      </c>
      <c r="B75" s="32" t="inlineStr">
        <is>
          <t>50114</t>
        </is>
      </c>
      <c r="C75" s="32" t="inlineStr">
        <is>
          <t>50114 - Openings</t>
        </is>
      </c>
      <c r="D75" s="32" t="inlineStr">
        <is>
          <t>Door Head Flashing</t>
        </is>
      </c>
      <c r="E75" s="32" t="inlineStr">
        <is>
          <t>Flashing | Door Head, Galvanised</t>
        </is>
      </c>
      <c r="F75" s="32" t="inlineStr">
        <is>
          <t>lm</t>
        </is>
      </c>
      <c r="G75" s="32" t="n">
        <v>5.52</v>
      </c>
      <c r="H75" s="32" t="inlineStr">
        <is>
          <t>calculated</t>
        </is>
      </c>
      <c r="I75" s="32" t="inlineStr">
        <is>
          <t>sum((door_width + 50mm overrun × 2) × count)</t>
        </is>
      </c>
      <c r="J75" s="32" t="inlineStr">
        <is>
          <t>dxf_blocks: door widths DOOR_90=0.92m×1, DOOR_82=0.82m×4, DOOR_72=0.72m×1</t>
        </is>
      </c>
      <c r="K75" s="32" t="inlineStr">
        <is>
          <t>sum((width + 0.100) × qty)</t>
        </is>
      </c>
      <c r="L75" s="32" t="inlineStr">
        <is>
          <t>MEDIUM</t>
        </is>
      </c>
    </row>
    <row r="76">
      <c r="A76" s="32" t="inlineStr">
        <is>
          <t>D05</t>
        </is>
      </c>
      <c r="B76" s="32" t="inlineStr">
        <is>
          <t>50114</t>
        </is>
      </c>
      <c r="C76" s="32" t="inlineStr">
        <is>
          <t>50114 - Openings</t>
        </is>
      </c>
      <c r="D76" s="32" t="inlineStr">
        <is>
          <t>Door Sill Flashing</t>
        </is>
      </c>
      <c r="E76" s="32" t="inlineStr">
        <is>
          <t>Flashing | Door Sill, Galvanised</t>
        </is>
      </c>
      <c r="F76" s="32" t="inlineStr">
        <is>
          <t>lm</t>
        </is>
      </c>
      <c r="G76" s="32" t="n">
        <v>5.52</v>
      </c>
      <c r="H76" s="32" t="inlineStr">
        <is>
          <t>calculated</t>
        </is>
      </c>
      <c r="I76" s="32" t="inlineStr">
        <is>
          <t>sum((door_width + 50mm overrun × 2) × count)</t>
        </is>
      </c>
      <c r="J76" s="32" t="inlineStr">
        <is>
          <t>dxf_blocks: 6 doors</t>
        </is>
      </c>
      <c r="K76" s="32" t="inlineStr">
        <is>
          <t>sum((width + 0.100) × qty)</t>
        </is>
      </c>
      <c r="L76" s="32" t="inlineStr">
        <is>
          <t>MEDIUM</t>
        </is>
      </c>
    </row>
    <row r="77">
      <c r="A77" s="32" t="inlineStr">
        <is>
          <t>D06</t>
        </is>
      </c>
      <c r="B77" s="32" t="inlineStr">
        <is>
          <t>50114</t>
        </is>
      </c>
      <c r="C77" s="32" t="inlineStr">
        <is>
          <t>50114 - Openings</t>
        </is>
      </c>
      <c r="D77" s="32" t="inlineStr">
        <is>
          <t>Door Leaf</t>
        </is>
      </c>
      <c r="E77" s="32" t="inlineStr">
        <is>
          <t>Door | Leaf</t>
        </is>
      </c>
      <c r="F77" s="32" t="inlineStr">
        <is>
          <t>nr</t>
        </is>
      </c>
      <c r="G77" s="32" t="n">
        <v>1</v>
      </c>
      <c r="H77" s="32" t="inlineStr">
        <is>
          <t>calculated</t>
        </is>
      </c>
      <c r="I77" s="32" t="inlineStr">
        <is>
          <t>assembly_rule:door_single_hinged</t>
        </is>
      </c>
      <c r="J77" s="32" t="inlineStr">
        <is>
          <t>dxf_blocks: DOOR_90 count=1</t>
        </is>
      </c>
      <c r="K77" s="32" t="inlineStr">
        <is>
          <t>door_single_hinged → x</t>
        </is>
      </c>
      <c r="L77" s="32" t="inlineStr">
        <is>
          <t>HIGH</t>
        </is>
      </c>
    </row>
    <row r="78">
      <c r="A78" s="32" t="inlineStr">
        <is>
          <t>D07</t>
        </is>
      </c>
      <c r="B78" s="32" t="inlineStr">
        <is>
          <t>50114</t>
        </is>
      </c>
      <c r="C78" s="32" t="inlineStr">
        <is>
          <t>50114 - Openings</t>
        </is>
      </c>
      <c r="D78" s="32" t="inlineStr">
        <is>
          <t>Door Frame Set</t>
        </is>
      </c>
      <c r="E78" s="32" t="inlineStr">
        <is>
          <t>Door | Frame Set</t>
        </is>
      </c>
      <c r="F78" s="32" t="inlineStr">
        <is>
          <t>nr</t>
        </is>
      </c>
      <c r="G78" s="32" t="n">
        <v>1</v>
      </c>
      <c r="H78" s="32" t="inlineStr">
        <is>
          <t>calculated</t>
        </is>
      </c>
      <c r="I78" s="32" t="inlineStr">
        <is>
          <t>assembly_rule:door_single_hinged</t>
        </is>
      </c>
      <c r="J78" s="32" t="inlineStr">
        <is>
          <t>dxf_blocks: DOOR_90 count=1</t>
        </is>
      </c>
      <c r="K78" s="32" t="inlineStr">
        <is>
          <t>door_single_hinged → x</t>
        </is>
      </c>
      <c r="L78" s="32" t="inlineStr">
        <is>
          <t>HIGH</t>
        </is>
      </c>
    </row>
    <row r="79">
      <c r="A79" s="32" t="inlineStr">
        <is>
          <t>D08</t>
        </is>
      </c>
      <c r="B79" s="32" t="inlineStr">
        <is>
          <t>50114</t>
        </is>
      </c>
      <c r="C79" s="32" t="inlineStr">
        <is>
          <t>50114 - Openings</t>
        </is>
      </c>
      <c r="D79" s="32" t="inlineStr">
        <is>
          <t>Door Hinge (pair)</t>
        </is>
      </c>
      <c r="E79" s="32" t="inlineStr">
        <is>
          <t>Door | Hinge (pair)</t>
        </is>
      </c>
      <c r="F79" s="32" t="inlineStr">
        <is>
          <t>nr</t>
        </is>
      </c>
      <c r="G79" s="32" t="n">
        <v>3</v>
      </c>
      <c r="H79" s="32" t="inlineStr">
        <is>
          <t>calculated</t>
        </is>
      </c>
      <c r="I79" s="32" t="inlineStr">
        <is>
          <t>assembly_rule:door_single_hinged</t>
        </is>
      </c>
      <c r="J79" s="32" t="inlineStr">
        <is>
          <t>dxf_blocks: DOOR_90 count=1</t>
        </is>
      </c>
      <c r="K79" s="32" t="inlineStr">
        <is>
          <t>door_single_hinged → x * 3  [note: 3 pairs per door (standard)]</t>
        </is>
      </c>
      <c r="L79" s="32" t="inlineStr">
        <is>
          <t>MEDIUM</t>
        </is>
      </c>
    </row>
    <row r="80">
      <c r="A80" s="32" t="inlineStr">
        <is>
          <t>D09</t>
        </is>
      </c>
      <c r="B80" s="32" t="inlineStr">
        <is>
          <t>50114</t>
        </is>
      </c>
      <c r="C80" s="32" t="inlineStr">
        <is>
          <t>50114 - Openings</t>
        </is>
      </c>
      <c r="D80" s="32" t="inlineStr">
        <is>
          <t>Door Lockset</t>
        </is>
      </c>
      <c r="E80" s="32" t="inlineStr">
        <is>
          <t>Door | Lockset</t>
        </is>
      </c>
      <c r="F80" s="32" t="inlineStr">
        <is>
          <t>nr</t>
        </is>
      </c>
      <c r="G80" s="32" t="n">
        <v>1</v>
      </c>
      <c r="H80" s="32" t="inlineStr">
        <is>
          <t>calculated</t>
        </is>
      </c>
      <c r="I80" s="32" t="inlineStr">
        <is>
          <t>assembly_rule:door_single_hinged</t>
        </is>
      </c>
      <c r="J80" s="32" t="inlineStr">
        <is>
          <t>dxf_blocks: DOOR_90 count=1</t>
        </is>
      </c>
      <c r="K80" s="32" t="inlineStr">
        <is>
          <t>door_single_hinged → x</t>
        </is>
      </c>
      <c r="L80" s="32" t="inlineStr">
        <is>
          <t>HIGH</t>
        </is>
      </c>
    </row>
    <row r="81">
      <c r="A81" s="32" t="inlineStr">
        <is>
          <t>D10</t>
        </is>
      </c>
      <c r="B81" s="32" t="inlineStr">
        <is>
          <t>50114</t>
        </is>
      </c>
      <c r="C81" s="32" t="inlineStr">
        <is>
          <t>50114 - Openings</t>
        </is>
      </c>
      <c r="D81" s="32" t="inlineStr">
        <is>
          <t>Door Stop</t>
        </is>
      </c>
      <c r="E81" s="32" t="inlineStr">
        <is>
          <t>Door | Stop</t>
        </is>
      </c>
      <c r="F81" s="32" t="inlineStr">
        <is>
          <t>nr</t>
        </is>
      </c>
      <c r="G81" s="32" t="n">
        <v>1</v>
      </c>
      <c r="H81" s="32" t="inlineStr">
        <is>
          <t>calculated</t>
        </is>
      </c>
      <c r="I81" s="32" t="inlineStr">
        <is>
          <t>assembly_rule:door_single_hinged</t>
        </is>
      </c>
      <c r="J81" s="32" t="inlineStr">
        <is>
          <t>dxf_blocks: DOOR_90 count=1</t>
        </is>
      </c>
      <c r="K81" s="32" t="inlineStr">
        <is>
          <t>door_single_hinged → x</t>
        </is>
      </c>
      <c r="L81" s="32" t="inlineStr">
        <is>
          <t>HIGH</t>
        </is>
      </c>
    </row>
    <row r="82">
      <c r="A82" s="32" t="inlineStr">
        <is>
          <t>D11</t>
        </is>
      </c>
      <c r="B82" s="32" t="inlineStr">
        <is>
          <t>50114</t>
        </is>
      </c>
      <c r="C82" s="32" t="inlineStr">
        <is>
          <t>50114 - Openings</t>
        </is>
      </c>
      <c r="D82" s="32" t="inlineStr">
        <is>
          <t>Door Leaf</t>
        </is>
      </c>
      <c r="E82" s="32" t="inlineStr">
        <is>
          <t>Door | Leaf</t>
        </is>
      </c>
      <c r="F82" s="32" t="inlineStr">
        <is>
          <t>nr</t>
        </is>
      </c>
      <c r="G82" s="32" t="n">
        <v>4</v>
      </c>
      <c r="H82" s="32" t="inlineStr">
        <is>
          <t>calculated</t>
        </is>
      </c>
      <c r="I82" s="32" t="inlineStr">
        <is>
          <t>assembly_rule:door_single_hinged</t>
        </is>
      </c>
      <c r="J82" s="32" t="inlineStr">
        <is>
          <t>dxf_blocks: DOOR_82 count=4</t>
        </is>
      </c>
      <c r="K82" s="32" t="inlineStr">
        <is>
          <t>door_single_hinged → x</t>
        </is>
      </c>
      <c r="L82" s="32" t="inlineStr">
        <is>
          <t>HIGH</t>
        </is>
      </c>
    </row>
    <row r="83">
      <c r="A83" s="32" t="inlineStr">
        <is>
          <t>D12</t>
        </is>
      </c>
      <c r="B83" s="32" t="inlineStr">
        <is>
          <t>50114</t>
        </is>
      </c>
      <c r="C83" s="32" t="inlineStr">
        <is>
          <t>50114 - Openings</t>
        </is>
      </c>
      <c r="D83" s="32" t="inlineStr">
        <is>
          <t>Door Frame Set</t>
        </is>
      </c>
      <c r="E83" s="32" t="inlineStr">
        <is>
          <t>Door | Frame Set</t>
        </is>
      </c>
      <c r="F83" s="32" t="inlineStr">
        <is>
          <t>nr</t>
        </is>
      </c>
      <c r="G83" s="32" t="n">
        <v>4</v>
      </c>
      <c r="H83" s="32" t="inlineStr">
        <is>
          <t>calculated</t>
        </is>
      </c>
      <c r="I83" s="32" t="inlineStr">
        <is>
          <t>assembly_rule:door_single_hinged</t>
        </is>
      </c>
      <c r="J83" s="32" t="inlineStr">
        <is>
          <t>dxf_blocks: DOOR_82 count=4</t>
        </is>
      </c>
      <c r="K83" s="32" t="inlineStr">
        <is>
          <t>door_single_hinged → x</t>
        </is>
      </c>
      <c r="L83" s="32" t="inlineStr">
        <is>
          <t>HIGH</t>
        </is>
      </c>
    </row>
    <row r="84">
      <c r="A84" s="32" t="inlineStr">
        <is>
          <t>D13</t>
        </is>
      </c>
      <c r="B84" s="32" t="inlineStr">
        <is>
          <t>50114</t>
        </is>
      </c>
      <c r="C84" s="32" t="inlineStr">
        <is>
          <t>50114 - Openings</t>
        </is>
      </c>
      <c r="D84" s="32" t="inlineStr">
        <is>
          <t>Door Hinge (pair)</t>
        </is>
      </c>
      <c r="E84" s="32" t="inlineStr">
        <is>
          <t>Door | Hinge (pair)</t>
        </is>
      </c>
      <c r="F84" s="32" t="inlineStr">
        <is>
          <t>nr</t>
        </is>
      </c>
      <c r="G84" s="32" t="n">
        <v>12</v>
      </c>
      <c r="H84" s="32" t="inlineStr">
        <is>
          <t>calculated</t>
        </is>
      </c>
      <c r="I84" s="32" t="inlineStr">
        <is>
          <t>assembly_rule:door_single_hinged</t>
        </is>
      </c>
      <c r="J84" s="32" t="inlineStr">
        <is>
          <t>dxf_blocks: DOOR_82 count=4</t>
        </is>
      </c>
      <c r="K84" s="32" t="inlineStr">
        <is>
          <t>door_single_hinged → x * 3  [note: 3 pairs per door (standard)]</t>
        </is>
      </c>
      <c r="L84" s="32" t="inlineStr">
        <is>
          <t>MEDIUM</t>
        </is>
      </c>
    </row>
    <row r="85">
      <c r="A85" s="32" t="inlineStr">
        <is>
          <t>D14</t>
        </is>
      </c>
      <c r="B85" s="32" t="inlineStr">
        <is>
          <t>50114</t>
        </is>
      </c>
      <c r="C85" s="32" t="inlineStr">
        <is>
          <t>50114 - Openings</t>
        </is>
      </c>
      <c r="D85" s="32" t="inlineStr">
        <is>
          <t>Door Lockset</t>
        </is>
      </c>
      <c r="E85" s="32" t="inlineStr">
        <is>
          <t>Door | Lockset</t>
        </is>
      </c>
      <c r="F85" s="32" t="inlineStr">
        <is>
          <t>nr</t>
        </is>
      </c>
      <c r="G85" s="32" t="n">
        <v>4</v>
      </c>
      <c r="H85" s="32" t="inlineStr">
        <is>
          <t>calculated</t>
        </is>
      </c>
      <c r="I85" s="32" t="inlineStr">
        <is>
          <t>assembly_rule:door_single_hinged</t>
        </is>
      </c>
      <c r="J85" s="32" t="inlineStr">
        <is>
          <t>dxf_blocks: DOOR_82 count=4</t>
        </is>
      </c>
      <c r="K85" s="32" t="inlineStr">
        <is>
          <t>door_single_hinged → x</t>
        </is>
      </c>
      <c r="L85" s="32" t="inlineStr">
        <is>
          <t>HIGH</t>
        </is>
      </c>
    </row>
    <row r="86">
      <c r="A86" s="32" t="inlineStr">
        <is>
          <t>D15</t>
        </is>
      </c>
      <c r="B86" s="32" t="inlineStr">
        <is>
          <t>50114</t>
        </is>
      </c>
      <c r="C86" s="32" t="inlineStr">
        <is>
          <t>50114 - Openings</t>
        </is>
      </c>
      <c r="D86" s="32" t="inlineStr">
        <is>
          <t>Door Stop</t>
        </is>
      </c>
      <c r="E86" s="32" t="inlineStr">
        <is>
          <t>Door | Stop</t>
        </is>
      </c>
      <c r="F86" s="32" t="inlineStr">
        <is>
          <t>nr</t>
        </is>
      </c>
      <c r="G86" s="32" t="n">
        <v>4</v>
      </c>
      <c r="H86" s="32" t="inlineStr">
        <is>
          <t>calculated</t>
        </is>
      </c>
      <c r="I86" s="32" t="inlineStr">
        <is>
          <t>assembly_rule:door_single_hinged</t>
        </is>
      </c>
      <c r="J86" s="32" t="inlineStr">
        <is>
          <t>dxf_blocks: DOOR_82 count=4</t>
        </is>
      </c>
      <c r="K86" s="32" t="inlineStr">
        <is>
          <t>door_single_hinged → x</t>
        </is>
      </c>
      <c r="L86" s="32" t="inlineStr">
        <is>
          <t>HIGH</t>
        </is>
      </c>
    </row>
    <row r="87">
      <c r="A87" s="32" t="inlineStr">
        <is>
          <t>D16</t>
        </is>
      </c>
      <c r="B87" s="32" t="inlineStr">
        <is>
          <t>50114</t>
        </is>
      </c>
      <c r="C87" s="32" t="inlineStr">
        <is>
          <t>50114 - Openings</t>
        </is>
      </c>
      <c r="D87" s="32" t="inlineStr">
        <is>
          <t>Door Leaf</t>
        </is>
      </c>
      <c r="E87" s="32" t="inlineStr">
        <is>
          <t>Door | Leaf</t>
        </is>
      </c>
      <c r="F87" s="32" t="inlineStr">
        <is>
          <t>nr</t>
        </is>
      </c>
      <c r="G87" s="32" t="n">
        <v>1</v>
      </c>
      <c r="H87" s="32" t="inlineStr">
        <is>
          <t>calculated</t>
        </is>
      </c>
      <c r="I87" s="32" t="inlineStr">
        <is>
          <t>assembly_rule:door_single_hinged</t>
        </is>
      </c>
      <c r="J87" s="32" t="inlineStr">
        <is>
          <t>dxf_blocks: DOOR_72 count=1</t>
        </is>
      </c>
      <c r="K87" s="32" t="inlineStr">
        <is>
          <t>door_single_hinged → x</t>
        </is>
      </c>
      <c r="L87" s="32" t="inlineStr">
        <is>
          <t>HIGH</t>
        </is>
      </c>
    </row>
    <row r="88">
      <c r="A88" s="32" t="inlineStr">
        <is>
          <t>D17</t>
        </is>
      </c>
      <c r="B88" s="32" t="inlineStr">
        <is>
          <t>50114</t>
        </is>
      </c>
      <c r="C88" s="32" t="inlineStr">
        <is>
          <t>50114 - Openings</t>
        </is>
      </c>
      <c r="D88" s="32" t="inlineStr">
        <is>
          <t>Door Frame Set</t>
        </is>
      </c>
      <c r="E88" s="32" t="inlineStr">
        <is>
          <t>Door | Frame Set</t>
        </is>
      </c>
      <c r="F88" s="32" t="inlineStr">
        <is>
          <t>nr</t>
        </is>
      </c>
      <c r="G88" s="32" t="n">
        <v>1</v>
      </c>
      <c r="H88" s="32" t="inlineStr">
        <is>
          <t>calculated</t>
        </is>
      </c>
      <c r="I88" s="32" t="inlineStr">
        <is>
          <t>assembly_rule:door_single_hinged</t>
        </is>
      </c>
      <c r="J88" s="32" t="inlineStr">
        <is>
          <t>dxf_blocks: DOOR_72 count=1</t>
        </is>
      </c>
      <c r="K88" s="32" t="inlineStr">
        <is>
          <t>door_single_hinged → x</t>
        </is>
      </c>
      <c r="L88" s="32" t="inlineStr">
        <is>
          <t>HIGH</t>
        </is>
      </c>
    </row>
    <row r="89">
      <c r="A89" s="32" t="inlineStr">
        <is>
          <t>D18</t>
        </is>
      </c>
      <c r="B89" s="32" t="inlineStr">
        <is>
          <t>50114</t>
        </is>
      </c>
      <c r="C89" s="32" t="inlineStr">
        <is>
          <t>50114 - Openings</t>
        </is>
      </c>
      <c r="D89" s="32" t="inlineStr">
        <is>
          <t>Door Hinge (pair)</t>
        </is>
      </c>
      <c r="E89" s="32" t="inlineStr">
        <is>
          <t>Door | Hinge (pair)</t>
        </is>
      </c>
      <c r="F89" s="32" t="inlineStr">
        <is>
          <t>nr</t>
        </is>
      </c>
      <c r="G89" s="32" t="n">
        <v>3</v>
      </c>
      <c r="H89" s="32" t="inlineStr">
        <is>
          <t>calculated</t>
        </is>
      </c>
      <c r="I89" s="32" t="inlineStr">
        <is>
          <t>assembly_rule:door_single_hinged</t>
        </is>
      </c>
      <c r="J89" s="32" t="inlineStr">
        <is>
          <t>dxf_blocks: DOOR_72 count=1</t>
        </is>
      </c>
      <c r="K89" s="32" t="inlineStr">
        <is>
          <t>door_single_hinged → x * 3  [note: 3 pairs per door (standard)]</t>
        </is>
      </c>
      <c r="L89" s="32" t="inlineStr">
        <is>
          <t>MEDIUM</t>
        </is>
      </c>
    </row>
    <row r="90">
      <c r="A90" s="32" t="inlineStr">
        <is>
          <t>D19</t>
        </is>
      </c>
      <c r="B90" s="32" t="inlineStr">
        <is>
          <t>50114</t>
        </is>
      </c>
      <c r="C90" s="32" t="inlineStr">
        <is>
          <t>50114 - Openings</t>
        </is>
      </c>
      <c r="D90" s="32" t="inlineStr">
        <is>
          <t>Door Lockset</t>
        </is>
      </c>
      <c r="E90" s="32" t="inlineStr">
        <is>
          <t>Door | Lockset</t>
        </is>
      </c>
      <c r="F90" s="32" t="inlineStr">
        <is>
          <t>nr</t>
        </is>
      </c>
      <c r="G90" s="32" t="n">
        <v>1</v>
      </c>
      <c r="H90" s="32" t="inlineStr">
        <is>
          <t>calculated</t>
        </is>
      </c>
      <c r="I90" s="32" t="inlineStr">
        <is>
          <t>assembly_rule:door_single_hinged</t>
        </is>
      </c>
      <c r="J90" s="32" t="inlineStr">
        <is>
          <t>dxf_blocks: DOOR_72 count=1</t>
        </is>
      </c>
      <c r="K90" s="32" t="inlineStr">
        <is>
          <t>door_single_hinged → x</t>
        </is>
      </c>
      <c r="L90" s="32" t="inlineStr">
        <is>
          <t>HIGH</t>
        </is>
      </c>
    </row>
    <row r="91">
      <c r="A91" s="32" t="inlineStr">
        <is>
          <t>D20</t>
        </is>
      </c>
      <c r="B91" s="32" t="inlineStr">
        <is>
          <t>50114</t>
        </is>
      </c>
      <c r="C91" s="32" t="inlineStr">
        <is>
          <t>50114 - Openings</t>
        </is>
      </c>
      <c r="D91" s="32" t="inlineStr">
        <is>
          <t>Door Stop</t>
        </is>
      </c>
      <c r="E91" s="32" t="inlineStr">
        <is>
          <t>Door | Stop</t>
        </is>
      </c>
      <c r="F91" s="32" t="inlineStr">
        <is>
          <t>nr</t>
        </is>
      </c>
      <c r="G91" s="32" t="n">
        <v>1</v>
      </c>
      <c r="H91" s="32" t="inlineStr">
        <is>
          <t>calculated</t>
        </is>
      </c>
      <c r="I91" s="32" t="inlineStr">
        <is>
          <t>assembly_rule:door_single_hinged</t>
        </is>
      </c>
      <c r="J91" s="32" t="inlineStr">
        <is>
          <t>dxf_blocks: DOOR_72 count=1</t>
        </is>
      </c>
      <c r="K91" s="32" t="inlineStr">
        <is>
          <t>door_single_hinged → x</t>
        </is>
      </c>
      <c r="L91" s="32" t="inlineStr">
        <is>
          <t>HIGH</t>
        </is>
      </c>
    </row>
    <row r="92">
      <c r="A92" s="32" t="inlineStr">
        <is>
          <t>D21</t>
        </is>
      </c>
      <c r="B92" s="32" t="inlineStr">
        <is>
          <t>50114</t>
        </is>
      </c>
      <c r="C92" s="32" t="inlineStr">
        <is>
          <t>50114 - Openings</t>
        </is>
      </c>
      <c r="D92" s="32" t="inlineStr">
        <is>
          <t>Window — WINDOW_LOUVRE_1100</t>
        </is>
      </c>
      <c r="E92" s="32" t="inlineStr">
        <is>
          <t>Window | Louvre, 1100mm Wide</t>
        </is>
      </c>
      <c r="F92" s="32" t="inlineStr">
        <is>
          <t>nr</t>
        </is>
      </c>
      <c r="G92" s="32" t="n">
        <v>8</v>
      </c>
      <c r="H92" s="32" t="inlineStr">
        <is>
          <t>measured</t>
        </is>
      </c>
      <c r="I92" s="32" t="inlineStr">
        <is>
          <t>count from source</t>
        </is>
      </c>
      <c r="J92" s="32" t="inlineStr">
        <is>
          <t>dxf_blocks: mark=WINDOW_LOUVRE_1100 count=8</t>
        </is>
      </c>
      <c r="K92" s="32" t="inlineStr">
        <is>
          <t>direct count</t>
        </is>
      </c>
      <c r="L92" s="32" t="inlineStr">
        <is>
          <t>MEDIUM</t>
        </is>
      </c>
    </row>
    <row r="93">
      <c r="A93" s="32" t="inlineStr">
        <is>
          <t>D22</t>
        </is>
      </c>
      <c r="B93" s="32" t="inlineStr">
        <is>
          <t>50114</t>
        </is>
      </c>
      <c r="C93" s="32" t="inlineStr">
        <is>
          <t>50114 - Openings</t>
        </is>
      </c>
      <c r="D93" s="32" t="inlineStr">
        <is>
          <t>Window — WINDOW_LOUVRE_800</t>
        </is>
      </c>
      <c r="E93" s="32" t="inlineStr">
        <is>
          <t>Window | Louvre, 800mm Wide</t>
        </is>
      </c>
      <c r="F93" s="32" t="inlineStr">
        <is>
          <t>nr</t>
        </is>
      </c>
      <c r="G93" s="32" t="n">
        <v>2</v>
      </c>
      <c r="H93" s="32" t="inlineStr">
        <is>
          <t>measured</t>
        </is>
      </c>
      <c r="I93" s="32" t="inlineStr">
        <is>
          <t>count from source</t>
        </is>
      </c>
      <c r="J93" s="32" t="inlineStr">
        <is>
          <t>dxf_blocks: mark=WINDOW_LOUVRE_800 count=2</t>
        </is>
      </c>
      <c r="K93" s="32" t="inlineStr">
        <is>
          <t>direct count</t>
        </is>
      </c>
      <c r="L93" s="32" t="inlineStr">
        <is>
          <t>MEDIUM</t>
        </is>
      </c>
    </row>
    <row r="94">
      <c r="A94" s="32" t="inlineStr">
        <is>
          <t>D23</t>
        </is>
      </c>
      <c r="B94" s="32" t="inlineStr">
        <is>
          <t>50114</t>
        </is>
      </c>
      <c r="C94" s="32" t="inlineStr">
        <is>
          <t>50114 - Openings</t>
        </is>
      </c>
      <c r="D94" s="32" t="inlineStr">
        <is>
          <t>Window — WINDOW_LOUVRE_1800</t>
        </is>
      </c>
      <c r="E94" s="32" t="inlineStr">
        <is>
          <t>Window | Louvre, 1800mm Wide</t>
        </is>
      </c>
      <c r="F94" s="32" t="inlineStr">
        <is>
          <t>nr</t>
        </is>
      </c>
      <c r="G94" s="32" t="n">
        <v>1</v>
      </c>
      <c r="H94" s="32" t="inlineStr">
        <is>
          <t>measured</t>
        </is>
      </c>
      <c r="I94" s="32" t="inlineStr">
        <is>
          <t>count from source</t>
        </is>
      </c>
      <c r="J94" s="32" t="inlineStr">
        <is>
          <t>dxf_blocks: mark=WINDOW_LOUVRE_1800 count=1</t>
        </is>
      </c>
      <c r="K94" s="32" t="inlineStr">
        <is>
          <t>direct count</t>
        </is>
      </c>
      <c r="L94" s="32" t="inlineStr">
        <is>
          <t>MEDIUM</t>
        </is>
      </c>
    </row>
    <row r="95">
      <c r="A95" s="32" t="inlineStr">
        <is>
          <t>D24</t>
        </is>
      </c>
      <c r="B95" s="32" t="inlineStr">
        <is>
          <t>50114</t>
        </is>
      </c>
      <c r="C95" s="32" t="inlineStr">
        <is>
          <t>50114 - Openings</t>
        </is>
      </c>
      <c r="D95" s="32" t="inlineStr">
        <is>
          <t>Window Head Flashing — WINDOW_LOUVRE_1100</t>
        </is>
      </c>
      <c r="E95" s="32" t="inlineStr">
        <is>
          <t>Flashing | Window Head, Galvanised</t>
        </is>
      </c>
      <c r="F95" s="32" t="inlineStr">
        <is>
          <t>lm</t>
        </is>
      </c>
      <c r="G95" s="32" t="n">
        <v>9.44</v>
      </c>
      <c r="H95" s="32" t="inlineStr">
        <is>
          <t>calculated</t>
        </is>
      </c>
      <c r="I95" s="32" t="inlineStr">
        <is>
          <t>(window_width + 50mm overrun × 2) × count = (1.08+0.100)×8</t>
        </is>
      </c>
      <c r="J95" s="32" t="inlineStr">
        <is>
          <t>dxf_blocks: block_name: WINDOW_LOUVRE_1100 count=8</t>
        </is>
      </c>
      <c r="K95" s="32" t="inlineStr">
        <is>
          <t>(1.08+0.100)×8</t>
        </is>
      </c>
      <c r="L95" s="32" t="inlineStr">
        <is>
          <t>MEDIUM</t>
        </is>
      </c>
    </row>
    <row r="96">
      <c r="A96" s="32" t="inlineStr">
        <is>
          <t>D25</t>
        </is>
      </c>
      <c r="B96" s="32" t="inlineStr">
        <is>
          <t>50114</t>
        </is>
      </c>
      <c r="C96" s="32" t="inlineStr">
        <is>
          <t>50114 - Openings</t>
        </is>
      </c>
      <c r="D96" s="32" t="inlineStr">
        <is>
          <t>Window Sill Flashing — WINDOW_LOUVRE_1100</t>
        </is>
      </c>
      <c r="E96" s="32" t="inlineStr">
        <is>
          <t>Flashing | Window Sill, Galvanised</t>
        </is>
      </c>
      <c r="F96" s="32" t="inlineStr">
        <is>
          <t>lm</t>
        </is>
      </c>
      <c r="G96" s="32" t="n">
        <v>9.44</v>
      </c>
      <c r="H96" s="32" t="inlineStr">
        <is>
          <t>calculated</t>
        </is>
      </c>
      <c r="I96" s="32" t="inlineStr">
        <is>
          <t>(window_width + 50mm overrun × 2) × count = (1.08+0.100)×8</t>
        </is>
      </c>
      <c r="J96" s="32" t="inlineStr">
        <is>
          <t>dxf_blocks: block_name: WINDOW_LOUVRE_1100 count=8</t>
        </is>
      </c>
      <c r="K96" s="32" t="inlineStr">
        <is>
          <t>(1.08+0.100)×8</t>
        </is>
      </c>
      <c r="L96" s="32" t="inlineStr">
        <is>
          <t>MEDIUM</t>
        </is>
      </c>
    </row>
    <row r="97">
      <c r="A97" s="32" t="inlineStr">
        <is>
          <t>D26</t>
        </is>
      </c>
      <c r="B97" s="32" t="inlineStr">
        <is>
          <t>50114</t>
        </is>
      </c>
      <c r="C97" s="32" t="inlineStr">
        <is>
          <t>50114 - Openings</t>
        </is>
      </c>
      <c r="D97" s="32" t="inlineStr">
        <is>
          <t>Louvre Blade — WINDOW_LOUVRE_1100</t>
        </is>
      </c>
      <c r="E97" s="32" t="inlineStr">
        <is>
          <t>Window | Louvre Blade, 1100mm Wide</t>
        </is>
      </c>
      <c r="F97" s="32" t="inlineStr">
        <is>
          <t>nr</t>
        </is>
      </c>
      <c r="G97" s="32" t="n">
        <v>64</v>
      </c>
      <c r="H97" s="32" t="inlineStr">
        <is>
          <t>calculated</t>
        </is>
      </c>
      <c r="I97" s="32" t="inlineStr">
        <is>
          <t>ceil(frame_h(750mm) / 100mm pitch) × count = 8 blades × 8</t>
        </is>
      </c>
      <c r="J97" s="32" t="inlineStr">
        <is>
          <t>dxf_blocks: config_default=750mm count=8</t>
        </is>
      </c>
      <c r="K97" s="32" t="inlineStr">
        <is>
          <t>ceil(750/100) × 8</t>
        </is>
      </c>
      <c r="L97" s="32" t="inlineStr">
        <is>
          <t>LOW</t>
        </is>
      </c>
    </row>
    <row r="98">
      <c r="A98" s="32" t="inlineStr">
        <is>
          <t>D27</t>
        </is>
      </c>
      <c r="B98" s="32" t="inlineStr">
        <is>
          <t>50114</t>
        </is>
      </c>
      <c r="C98" s="32" t="inlineStr">
        <is>
          <t>50114 - Openings</t>
        </is>
      </c>
      <c r="D98" s="32" t="inlineStr">
        <is>
          <t>Window Head Flashing — WINDOW_LOUVRE_800</t>
        </is>
      </c>
      <c r="E98" s="32" t="inlineStr">
        <is>
          <t>Flashing | Window Head, Galvanised</t>
        </is>
      </c>
      <c r="F98" s="32" t="inlineStr">
        <is>
          <t>lm</t>
        </is>
      </c>
      <c r="G98" s="32" t="n">
        <v>1.8</v>
      </c>
      <c r="H98" s="32" t="inlineStr">
        <is>
          <t>calculated</t>
        </is>
      </c>
      <c r="I98" s="32" t="inlineStr">
        <is>
          <t>(window_width + 50mm overrun × 2) × count = (0.80+0.100)×2</t>
        </is>
      </c>
      <c r="J98" s="32" t="inlineStr">
        <is>
          <t>dxf_blocks: block_name: WINDOW_LOUVRE_800 count=2</t>
        </is>
      </c>
      <c r="K98" s="32" t="inlineStr">
        <is>
          <t>(0.80+0.100)×2</t>
        </is>
      </c>
      <c r="L98" s="32" t="inlineStr">
        <is>
          <t>MEDIUM</t>
        </is>
      </c>
    </row>
    <row r="99">
      <c r="A99" s="32" t="inlineStr">
        <is>
          <t>D28</t>
        </is>
      </c>
      <c r="B99" s="32" t="inlineStr">
        <is>
          <t>50114</t>
        </is>
      </c>
      <c r="C99" s="32" t="inlineStr">
        <is>
          <t>50114 - Openings</t>
        </is>
      </c>
      <c r="D99" s="32" t="inlineStr">
        <is>
          <t>Window Sill Flashing — WINDOW_LOUVRE_800</t>
        </is>
      </c>
      <c r="E99" s="32" t="inlineStr">
        <is>
          <t>Flashing | Window Sill, Galvanised</t>
        </is>
      </c>
      <c r="F99" s="32" t="inlineStr">
        <is>
          <t>lm</t>
        </is>
      </c>
      <c r="G99" s="32" t="n">
        <v>1.8</v>
      </c>
      <c r="H99" s="32" t="inlineStr">
        <is>
          <t>calculated</t>
        </is>
      </c>
      <c r="I99" s="32" t="inlineStr">
        <is>
          <t>(window_width + 50mm overrun × 2) × count = (0.80+0.100)×2</t>
        </is>
      </c>
      <c r="J99" s="32" t="inlineStr">
        <is>
          <t>dxf_blocks: block_name: WINDOW_LOUVRE_800 count=2</t>
        </is>
      </c>
      <c r="K99" s="32" t="inlineStr">
        <is>
          <t>(0.80+0.100)×2</t>
        </is>
      </c>
      <c r="L99" s="32" t="inlineStr">
        <is>
          <t>MEDIUM</t>
        </is>
      </c>
    </row>
    <row r="100">
      <c r="A100" s="32" t="inlineStr">
        <is>
          <t>D29</t>
        </is>
      </c>
      <c r="B100" s="32" t="inlineStr">
        <is>
          <t>50114</t>
        </is>
      </c>
      <c r="C100" s="32" t="inlineStr">
        <is>
          <t>50114 - Openings</t>
        </is>
      </c>
      <c r="D100" s="32" t="inlineStr">
        <is>
          <t>Louvre Blade — WINDOW_LOUVRE_800</t>
        </is>
      </c>
      <c r="E100" s="32" t="inlineStr">
        <is>
          <t>Window | Louvre Blade, 800mm Wide</t>
        </is>
      </c>
      <c r="F100" s="32" t="inlineStr">
        <is>
          <t>nr</t>
        </is>
      </c>
      <c r="G100" s="32" t="n">
        <v>16</v>
      </c>
      <c r="H100" s="32" t="inlineStr">
        <is>
          <t>calculated</t>
        </is>
      </c>
      <c r="I100" s="32" t="inlineStr">
        <is>
          <t>ceil(frame_h(750mm) / 100mm pitch) × count = 8 blades × 2</t>
        </is>
      </c>
      <c r="J100" s="32" t="inlineStr">
        <is>
          <t>dxf_blocks: config_default=750mm count=2</t>
        </is>
      </c>
      <c r="K100" s="32" t="inlineStr">
        <is>
          <t>ceil(750/100) × 2</t>
        </is>
      </c>
      <c r="L100" s="32" t="inlineStr">
        <is>
          <t>LOW</t>
        </is>
      </c>
    </row>
    <row r="101">
      <c r="A101" s="32" t="inlineStr">
        <is>
          <t>D30</t>
        </is>
      </c>
      <c r="B101" s="32" t="inlineStr">
        <is>
          <t>50114</t>
        </is>
      </c>
      <c r="C101" s="32" t="inlineStr">
        <is>
          <t>50114 - Openings</t>
        </is>
      </c>
      <c r="D101" s="32" t="inlineStr">
        <is>
          <t>Window Head Flashing — WINDOW_LOUVRE_1800</t>
        </is>
      </c>
      <c r="E101" s="32" t="inlineStr">
        <is>
          <t>Flashing | Window Head, Galvanised</t>
        </is>
      </c>
      <c r="F101" s="32" t="inlineStr">
        <is>
          <t>lm</t>
        </is>
      </c>
      <c r="G101" s="32" t="n">
        <v>1.95</v>
      </c>
      <c r="H101" s="32" t="inlineStr">
        <is>
          <t>calculated</t>
        </is>
      </c>
      <c r="I101" s="32" t="inlineStr">
        <is>
          <t>(window_width + 50mm overrun × 2) × count = (1.85+0.100)×1</t>
        </is>
      </c>
      <c r="J101" s="32" t="inlineStr">
        <is>
          <t>dxf_blocks: block_name: WINDOW_LOUVRE_1800 count=1</t>
        </is>
      </c>
      <c r="K101" s="32" t="inlineStr">
        <is>
          <t>(1.85+0.100)×1</t>
        </is>
      </c>
      <c r="L101" s="32" t="inlineStr">
        <is>
          <t>MEDIUM</t>
        </is>
      </c>
    </row>
    <row r="102">
      <c r="A102" s="32" t="inlineStr">
        <is>
          <t>D31</t>
        </is>
      </c>
      <c r="B102" s="32" t="inlineStr">
        <is>
          <t>50114</t>
        </is>
      </c>
      <c r="C102" s="32" t="inlineStr">
        <is>
          <t>50114 - Openings</t>
        </is>
      </c>
      <c r="D102" s="32" t="inlineStr">
        <is>
          <t>Window Sill Flashing — WINDOW_LOUVRE_1800</t>
        </is>
      </c>
      <c r="E102" s="32" t="inlineStr">
        <is>
          <t>Flashing | Window Sill, Galvanised</t>
        </is>
      </c>
      <c r="F102" s="32" t="inlineStr">
        <is>
          <t>lm</t>
        </is>
      </c>
      <c r="G102" s="32" t="n">
        <v>1.95</v>
      </c>
      <c r="H102" s="32" t="inlineStr">
        <is>
          <t>calculated</t>
        </is>
      </c>
      <c r="I102" s="32" t="inlineStr">
        <is>
          <t>(window_width + 50mm overrun × 2) × count = (1.85+0.100)×1</t>
        </is>
      </c>
      <c r="J102" s="32" t="inlineStr">
        <is>
          <t>dxf_blocks: block_name: WINDOW_LOUVRE_1800 count=1</t>
        </is>
      </c>
      <c r="K102" s="32" t="inlineStr">
        <is>
          <t>(1.85+0.100)×1</t>
        </is>
      </c>
      <c r="L102" s="32" t="inlineStr">
        <is>
          <t>MEDIUM</t>
        </is>
      </c>
    </row>
    <row r="103">
      <c r="A103" s="32" t="inlineStr">
        <is>
          <t>D32</t>
        </is>
      </c>
      <c r="B103" s="32" t="inlineStr">
        <is>
          <t>50114</t>
        </is>
      </c>
      <c r="C103" s="32" t="inlineStr">
        <is>
          <t>50114 - Openings</t>
        </is>
      </c>
      <c r="D103" s="32" t="inlineStr">
        <is>
          <t>Louvre Blade — WINDOW_LOUVRE_1800</t>
        </is>
      </c>
      <c r="E103" s="32" t="inlineStr">
        <is>
          <t>Window | Louvre Blade, 1800mm Wide</t>
        </is>
      </c>
      <c r="F103" s="32" t="inlineStr">
        <is>
          <t>nr</t>
        </is>
      </c>
      <c r="G103" s="32" t="n">
        <v>8</v>
      </c>
      <c r="H103" s="32" t="inlineStr">
        <is>
          <t>calculated</t>
        </is>
      </c>
      <c r="I103" s="32" t="inlineStr">
        <is>
          <t>ceil(frame_h(750mm) / 100mm pitch) × count = 8 blades × 1</t>
        </is>
      </c>
      <c r="J103" s="32" t="inlineStr">
        <is>
          <t>dxf_blocks: config_default=750mm count=1</t>
        </is>
      </c>
      <c r="K103" s="32" t="inlineStr">
        <is>
          <t>ceil(750/100) × 1</t>
        </is>
      </c>
      <c r="L103" s="32" t="inlineStr">
        <is>
          <t>LOW</t>
        </is>
      </c>
    </row>
    <row r="104">
      <c r="A104" s="32" t="inlineStr">
        <is>
          <t>D33</t>
        </is>
      </c>
      <c r="B104" s="32" t="inlineStr">
        <is>
          <t>50114</t>
        </is>
      </c>
      <c r="C104" s="32" t="inlineStr">
        <is>
          <t>50114 - Openings</t>
        </is>
      </c>
      <c r="D104" s="32" t="inlineStr">
        <is>
          <t>Louvre Window Frame</t>
        </is>
      </c>
      <c r="E104" s="32" t="inlineStr">
        <is>
          <t>Window | Louvre Frame</t>
        </is>
      </c>
      <c r="F104" s="32" t="inlineStr">
        <is>
          <t>nr</t>
        </is>
      </c>
      <c r="G104" s="32" t="n">
        <v>8</v>
      </c>
      <c r="H104" s="32" t="inlineStr">
        <is>
          <t>calculated</t>
        </is>
      </c>
      <c r="I104" s="32" t="inlineStr">
        <is>
          <t>assembly_rule:window_louvre</t>
        </is>
      </c>
      <c r="J104" s="32" t="inlineStr">
        <is>
          <t>dxf_blocks: WINDOW_LOUVRE_1100 count=8</t>
        </is>
      </c>
      <c r="K104" s="32" t="inlineStr">
        <is>
          <t>window_louvre → x</t>
        </is>
      </c>
      <c r="L104" s="32" t="inlineStr">
        <is>
          <t>MEDIUM</t>
        </is>
      </c>
    </row>
    <row r="105">
      <c r="A105" s="32" t="inlineStr">
        <is>
          <t>D34</t>
        </is>
      </c>
      <c r="B105" s="32" t="inlineStr">
        <is>
          <t>50114</t>
        </is>
      </c>
      <c r="C105" s="32" t="inlineStr">
        <is>
          <t>50114 - Openings</t>
        </is>
      </c>
      <c r="D105" s="32" t="inlineStr">
        <is>
          <t>Louvre Blade Set</t>
        </is>
      </c>
      <c r="E105" s="32" t="inlineStr">
        <is>
          <t>Window | Louvre Blade</t>
        </is>
      </c>
      <c r="F105" s="32" t="inlineStr">
        <is>
          <t>nr</t>
        </is>
      </c>
      <c r="G105" s="32" t="n">
        <v>8</v>
      </c>
      <c r="H105" s="32" t="inlineStr">
        <is>
          <t>calculated</t>
        </is>
      </c>
      <c r="I105" s="32" t="inlineStr">
        <is>
          <t>assembly_rule:window_louvre</t>
        </is>
      </c>
      <c r="J105" s="32" t="inlineStr">
        <is>
          <t>dxf_blocks: WINDOW_LOUVRE_1100 count=8</t>
        </is>
      </c>
      <c r="K105" s="32" t="inlineStr">
        <is>
          <t>window_louvre → x</t>
        </is>
      </c>
      <c r="L105" s="32" t="inlineStr">
        <is>
          <t>MEDIUM</t>
        </is>
      </c>
    </row>
    <row r="106">
      <c r="A106" s="32" t="inlineStr">
        <is>
          <t>D35</t>
        </is>
      </c>
      <c r="B106" s="32" t="inlineStr">
        <is>
          <t>50114</t>
        </is>
      </c>
      <c r="C106" s="32" t="inlineStr">
        <is>
          <t>50114 - Openings</t>
        </is>
      </c>
      <c r="D106" s="32" t="inlineStr">
        <is>
          <t>Flyscreen</t>
        </is>
      </c>
      <c r="E106" s="32" t="inlineStr">
        <is>
          <t>Window | Fly Screen</t>
        </is>
      </c>
      <c r="F106" s="32" t="inlineStr">
        <is>
          <t>nr</t>
        </is>
      </c>
      <c r="G106" s="32" t="n">
        <v>8</v>
      </c>
      <c r="H106" s="32" t="inlineStr">
        <is>
          <t>calculated</t>
        </is>
      </c>
      <c r="I106" s="32" t="inlineStr">
        <is>
          <t>assembly_rule:window_louvre</t>
        </is>
      </c>
      <c r="J106" s="32" t="inlineStr">
        <is>
          <t>dxf_blocks: WINDOW_LOUVRE_1100 count=8</t>
        </is>
      </c>
      <c r="K106" s="32" t="inlineStr">
        <is>
          <t>window_louvre → x</t>
        </is>
      </c>
      <c r="L106" s="32" t="inlineStr">
        <is>
          <t>MEDIUM</t>
        </is>
      </c>
    </row>
    <row r="107">
      <c r="A107" s="32" t="inlineStr">
        <is>
          <t>D36</t>
        </is>
      </c>
      <c r="B107" s="32" t="inlineStr">
        <is>
          <t>50114</t>
        </is>
      </c>
      <c r="C107" s="32" t="inlineStr">
        <is>
          <t>50114 - Openings</t>
        </is>
      </c>
      <c r="D107" s="32" t="inlineStr">
        <is>
          <t>Louvre Window Frame</t>
        </is>
      </c>
      <c r="E107" s="32" t="inlineStr">
        <is>
          <t>Window | Louvre Frame</t>
        </is>
      </c>
      <c r="F107" s="32" t="inlineStr">
        <is>
          <t>nr</t>
        </is>
      </c>
      <c r="G107" s="32" t="n">
        <v>2</v>
      </c>
      <c r="H107" s="32" t="inlineStr">
        <is>
          <t>calculated</t>
        </is>
      </c>
      <c r="I107" s="32" t="inlineStr">
        <is>
          <t>assembly_rule:window_louvre</t>
        </is>
      </c>
      <c r="J107" s="32" t="inlineStr">
        <is>
          <t>dxf_blocks: WINDOW_LOUVRE_800 count=2</t>
        </is>
      </c>
      <c r="K107" s="32" t="inlineStr">
        <is>
          <t>window_louvre → x</t>
        </is>
      </c>
      <c r="L107" s="32" t="inlineStr">
        <is>
          <t>MEDIUM</t>
        </is>
      </c>
    </row>
    <row r="108">
      <c r="A108" s="32" t="inlineStr">
        <is>
          <t>D37</t>
        </is>
      </c>
      <c r="B108" s="32" t="inlineStr">
        <is>
          <t>50114</t>
        </is>
      </c>
      <c r="C108" s="32" t="inlineStr">
        <is>
          <t>50114 - Openings</t>
        </is>
      </c>
      <c r="D108" s="32" t="inlineStr">
        <is>
          <t>Louvre Blade Set</t>
        </is>
      </c>
      <c r="E108" s="32" t="inlineStr">
        <is>
          <t>Window | Louvre Blade</t>
        </is>
      </c>
      <c r="F108" s="32" t="inlineStr">
        <is>
          <t>nr</t>
        </is>
      </c>
      <c r="G108" s="32" t="n">
        <v>2</v>
      </c>
      <c r="H108" s="32" t="inlineStr">
        <is>
          <t>calculated</t>
        </is>
      </c>
      <c r="I108" s="32" t="inlineStr">
        <is>
          <t>assembly_rule:window_louvre</t>
        </is>
      </c>
      <c r="J108" s="32" t="inlineStr">
        <is>
          <t>dxf_blocks: WINDOW_LOUVRE_800 count=2</t>
        </is>
      </c>
      <c r="K108" s="32" t="inlineStr">
        <is>
          <t>window_louvre → x</t>
        </is>
      </c>
      <c r="L108" s="32" t="inlineStr">
        <is>
          <t>MEDIUM</t>
        </is>
      </c>
    </row>
    <row r="109">
      <c r="A109" s="32" t="inlineStr">
        <is>
          <t>D38</t>
        </is>
      </c>
      <c r="B109" s="32" t="inlineStr">
        <is>
          <t>50114</t>
        </is>
      </c>
      <c r="C109" s="32" t="inlineStr">
        <is>
          <t>50114 - Openings</t>
        </is>
      </c>
      <c r="D109" s="32" t="inlineStr">
        <is>
          <t>Flyscreen</t>
        </is>
      </c>
      <c r="E109" s="32" t="inlineStr">
        <is>
          <t>Window | Fly Screen</t>
        </is>
      </c>
      <c r="F109" s="32" t="inlineStr">
        <is>
          <t>nr</t>
        </is>
      </c>
      <c r="G109" s="32" t="n">
        <v>2</v>
      </c>
      <c r="H109" s="32" t="inlineStr">
        <is>
          <t>calculated</t>
        </is>
      </c>
      <c r="I109" s="32" t="inlineStr">
        <is>
          <t>assembly_rule:window_louvre</t>
        </is>
      </c>
      <c r="J109" s="32" t="inlineStr">
        <is>
          <t>dxf_blocks: WINDOW_LOUVRE_800 count=2</t>
        </is>
      </c>
      <c r="K109" s="32" t="inlineStr">
        <is>
          <t>window_louvre → x</t>
        </is>
      </c>
      <c r="L109" s="32" t="inlineStr">
        <is>
          <t>MEDIUM</t>
        </is>
      </c>
    </row>
    <row r="110">
      <c r="A110" s="32" t="inlineStr">
        <is>
          <t>D39</t>
        </is>
      </c>
      <c r="B110" s="32" t="inlineStr">
        <is>
          <t>50114</t>
        </is>
      </c>
      <c r="C110" s="32" t="inlineStr">
        <is>
          <t>50114 - Openings</t>
        </is>
      </c>
      <c r="D110" s="32" t="inlineStr">
        <is>
          <t>Louvre Window Frame</t>
        </is>
      </c>
      <c r="E110" s="32" t="inlineStr">
        <is>
          <t>Window | Louvre Frame</t>
        </is>
      </c>
      <c r="F110" s="32" t="inlineStr">
        <is>
          <t>nr</t>
        </is>
      </c>
      <c r="G110" s="32" t="n">
        <v>1</v>
      </c>
      <c r="H110" s="32" t="inlineStr">
        <is>
          <t>calculated</t>
        </is>
      </c>
      <c r="I110" s="32" t="inlineStr">
        <is>
          <t>assembly_rule:window_louvre</t>
        </is>
      </c>
      <c r="J110" s="32" t="inlineStr">
        <is>
          <t>dxf_blocks: WINDOW_LOUVRE_1800 count=1</t>
        </is>
      </c>
      <c r="K110" s="32" t="inlineStr">
        <is>
          <t>window_louvre → x</t>
        </is>
      </c>
      <c r="L110" s="32" t="inlineStr">
        <is>
          <t>MEDIUM</t>
        </is>
      </c>
    </row>
    <row r="111">
      <c r="A111" s="32" t="inlineStr">
        <is>
          <t>D40</t>
        </is>
      </c>
      <c r="B111" s="32" t="inlineStr">
        <is>
          <t>50114</t>
        </is>
      </c>
      <c r="C111" s="32" t="inlineStr">
        <is>
          <t>50114 - Openings</t>
        </is>
      </c>
      <c r="D111" s="32" t="inlineStr">
        <is>
          <t>Louvre Blade Set</t>
        </is>
      </c>
      <c r="E111" s="32" t="inlineStr">
        <is>
          <t>Window | Louvre Blade</t>
        </is>
      </c>
      <c r="F111" s="32" t="inlineStr">
        <is>
          <t>nr</t>
        </is>
      </c>
      <c r="G111" s="32" t="n">
        <v>1</v>
      </c>
      <c r="H111" s="32" t="inlineStr">
        <is>
          <t>calculated</t>
        </is>
      </c>
      <c r="I111" s="32" t="inlineStr">
        <is>
          <t>assembly_rule:window_louvre</t>
        </is>
      </c>
      <c r="J111" s="32" t="inlineStr">
        <is>
          <t>dxf_blocks: WINDOW_LOUVRE_1800 count=1</t>
        </is>
      </c>
      <c r="K111" s="32" t="inlineStr">
        <is>
          <t>window_louvre → x</t>
        </is>
      </c>
      <c r="L111" s="32" t="inlineStr">
        <is>
          <t>MEDIUM</t>
        </is>
      </c>
    </row>
    <row r="112">
      <c r="A112" s="32" t="inlineStr">
        <is>
          <t>D41</t>
        </is>
      </c>
      <c r="B112" s="32" t="inlineStr">
        <is>
          <t>50114</t>
        </is>
      </c>
      <c r="C112" s="32" t="inlineStr">
        <is>
          <t>50114 - Openings</t>
        </is>
      </c>
      <c r="D112" s="32" t="inlineStr">
        <is>
          <t>Flyscreen</t>
        </is>
      </c>
      <c r="E112" s="32" t="inlineStr">
        <is>
          <t>Window | Fly Screen</t>
        </is>
      </c>
      <c r="F112" s="32" t="inlineStr">
        <is>
          <t>nr</t>
        </is>
      </c>
      <c r="G112" s="32" t="n">
        <v>1</v>
      </c>
      <c r="H112" s="32" t="inlineStr">
        <is>
          <t>calculated</t>
        </is>
      </c>
      <c r="I112" s="32" t="inlineStr">
        <is>
          <t>assembly_rule:window_louvre</t>
        </is>
      </c>
      <c r="J112" s="32" t="inlineStr">
        <is>
          <t>dxf_blocks: WINDOW_LOUVRE_1800 count=1</t>
        </is>
      </c>
      <c r="K112" s="32" t="inlineStr">
        <is>
          <t>window_louvre → x</t>
        </is>
      </c>
      <c r="L112" s="32" t="inlineStr">
        <is>
          <t>MEDIUM</t>
        </is>
      </c>
    </row>
    <row r="113">
      <c r="A113" s="32" t="inlineStr">
        <is>
          <t>D42</t>
        </is>
      </c>
      <c r="B113" s="32" t="inlineStr">
        <is>
          <t>50114</t>
        </is>
      </c>
      <c r="C113" s="32" t="inlineStr">
        <is>
          <t>50114 - Openings</t>
        </is>
      </c>
      <c r="D113" s="32" t="inlineStr">
        <is>
          <t>Fly Screen — WINDOW_LOUVRE_1100</t>
        </is>
      </c>
      <c r="E113" s="32" t="inlineStr">
        <is>
          <t>Window | Fly Screen, 1100mm Wide</t>
        </is>
      </c>
      <c r="F113" s="32" t="inlineStr">
        <is>
          <t>m2</t>
        </is>
      </c>
      <c r="G113" s="32" t="n">
        <v>6.48</v>
      </c>
      <c r="H113" s="32" t="inlineStr">
        <is>
          <t>calculated</t>
        </is>
      </c>
      <c r="I113" s="32" t="inlineStr">
        <is>
          <t>width(1.08m) × height(0.750m) × qty(8)</t>
        </is>
      </c>
      <c r="J113" s="32" t="inlineStr">
        <is>
          <t>dxf_blocks: mark=WINDOW_LOUVRE_1100 w=1.08m (block_name) h=0.750m (config_default=750mm) qty=8</t>
        </is>
      </c>
      <c r="K113" s="32" t="inlineStr">
        <is>
          <t>1.08 × 0.750 × 8</t>
        </is>
      </c>
      <c r="L113" s="32" t="inlineStr">
        <is>
          <t>LOW</t>
        </is>
      </c>
    </row>
    <row r="114">
      <c r="A114" s="32" t="inlineStr">
        <is>
          <t>D43</t>
        </is>
      </c>
      <c r="B114" s="32" t="inlineStr">
        <is>
          <t>50114</t>
        </is>
      </c>
      <c r="C114" s="32" t="inlineStr">
        <is>
          <t>50114 - Openings</t>
        </is>
      </c>
      <c r="D114" s="32" t="inlineStr">
        <is>
          <t>Fly Screen — WINDOW_LOUVRE_800</t>
        </is>
      </c>
      <c r="E114" s="32" t="inlineStr">
        <is>
          <t>Window | Fly Screen, 800mm Wide</t>
        </is>
      </c>
      <c r="F114" s="32" t="inlineStr">
        <is>
          <t>m2</t>
        </is>
      </c>
      <c r="G114" s="32" t="n">
        <v>1.2</v>
      </c>
      <c r="H114" s="32" t="inlineStr">
        <is>
          <t>calculated</t>
        </is>
      </c>
      <c r="I114" s="32" t="inlineStr">
        <is>
          <t>width(0.80m) × height(0.750m) × qty(2)</t>
        </is>
      </c>
      <c r="J114" s="32" t="inlineStr">
        <is>
          <t>dxf_blocks: mark=WINDOW_LOUVRE_800 w=0.80m (block_name) h=0.750m (config_default=750mm) qty=2</t>
        </is>
      </c>
      <c r="K114" s="32" t="inlineStr">
        <is>
          <t>0.80 × 0.750 × 2</t>
        </is>
      </c>
      <c r="L114" s="32" t="inlineStr">
        <is>
          <t>LOW</t>
        </is>
      </c>
    </row>
    <row r="115">
      <c r="A115" s="32" t="inlineStr">
        <is>
          <t>D44</t>
        </is>
      </c>
      <c r="B115" s="32" t="inlineStr">
        <is>
          <t>50114</t>
        </is>
      </c>
      <c r="C115" s="32" t="inlineStr">
        <is>
          <t>50114 - Openings</t>
        </is>
      </c>
      <c r="D115" s="32" t="inlineStr">
        <is>
          <t>Fly Screen — WINDOW_LOUVRE_1800</t>
        </is>
      </c>
      <c r="E115" s="32" t="inlineStr">
        <is>
          <t>Window | Fly Screen, 1800mm Wide</t>
        </is>
      </c>
      <c r="F115" s="32" t="inlineStr">
        <is>
          <t>m2</t>
        </is>
      </c>
      <c r="G115" s="32" t="n">
        <v>1.39</v>
      </c>
      <c r="H115" s="32" t="inlineStr">
        <is>
          <t>calculated</t>
        </is>
      </c>
      <c r="I115" s="32" t="inlineStr">
        <is>
          <t>width(1.85m) × height(0.750m) × qty(1)</t>
        </is>
      </c>
      <c r="J115" s="32" t="inlineStr">
        <is>
          <t>dxf_blocks: mark=WINDOW_LOUVRE_1800 w=1.85m (block_name) h=0.750m (config_default=750mm) qty=1</t>
        </is>
      </c>
      <c r="K115" s="32" t="inlineStr">
        <is>
          <t>1.85 × 0.750 × 1</t>
        </is>
      </c>
      <c r="L115" s="32" t="inlineStr">
        <is>
          <t>LOW</t>
        </is>
      </c>
    </row>
    <row r="116">
      <c r="A116" s="32" t="inlineStr">
        <is>
          <t>D45</t>
        </is>
      </c>
      <c r="B116" s="32" t="inlineStr">
        <is>
          <t>50114</t>
        </is>
      </c>
      <c r="C116" s="32" t="inlineStr">
        <is>
          <t>50114 - Openings</t>
        </is>
      </c>
      <c r="D116" s="32" t="inlineStr">
        <is>
          <t>Door Closer — Hydraulic (main entrance)</t>
        </is>
      </c>
      <c r="E116" s="32" t="inlineStr">
        <is>
          <t>Door | Closer, Hydraulic</t>
        </is>
      </c>
      <c r="F116" s="32" t="inlineStr">
        <is>
          <t>nr</t>
        </is>
      </c>
      <c r="G116" s="32" t="n">
        <v>1</v>
      </c>
      <c r="H116" s="32" t="inlineStr">
        <is>
          <t>inferred</t>
        </is>
      </c>
      <c r="I116" s="32" t="inlineStr">
        <is>
          <t>entrance_door_count(1) — widest door mark(s) in pharmacy</t>
        </is>
      </c>
      <c r="J116" s="32" t="inlineStr">
        <is>
          <t>dxf_blocks: DOOR_90 (width≥850mm or DOOR_90)</t>
        </is>
      </c>
      <c r="K116" s="32" t="inlineStr">
        <is>
          <t>count of entrance-width doors</t>
        </is>
      </c>
      <c r="L116" s="32" t="inlineStr">
        <is>
          <t>MEDIUM</t>
        </is>
      </c>
    </row>
    <row r="117">
      <c r="A117" s="32" t="inlineStr">
        <is>
          <t>F02</t>
        </is>
      </c>
      <c r="B117" s="32" t="inlineStr">
        <is>
          <t>50114</t>
        </is>
      </c>
      <c r="C117" s="32" t="inlineStr">
        <is>
          <t>50114 - Openings</t>
        </is>
      </c>
      <c r="D117" s="32" t="inlineStr">
        <is>
          <t>Architrave — Door</t>
        </is>
      </c>
      <c r="E117" s="32" t="inlineStr">
        <is>
          <t>Timber Architrave | 12 x 75 x 2400mm Timber</t>
        </is>
      </c>
      <c r="F117" s="32" t="inlineStr">
        <is>
          <t>lm</t>
        </is>
      </c>
      <c r="G117" s="32" t="n">
        <v>36</v>
      </c>
      <c r="H117" s="32" t="inlineStr">
        <is>
          <t>calculated</t>
        </is>
      </c>
      <c r="I117" s="32" t="inlineStr">
        <is>
          <t>door_count × 6.0 lm/door = 6 × 6.0</t>
        </is>
      </c>
      <c r="J117" s="32" t="inlineStr">
        <is>
          <t>derived from door_count=6</t>
        </is>
      </c>
      <c r="K117" s="32" t="inlineStr">
        <is>
          <t>door_count × 6.0</t>
        </is>
      </c>
      <c r="L117" s="32" t="inlineStr">
        <is>
          <t>MEDIUM</t>
        </is>
      </c>
    </row>
    <row r="118">
      <c r="A118" s="32" t="inlineStr">
        <is>
          <t>F03</t>
        </is>
      </c>
      <c r="B118" s="32" t="inlineStr">
        <is>
          <t>50114</t>
        </is>
      </c>
      <c r="C118" s="32" t="inlineStr">
        <is>
          <t>50114 - Openings</t>
        </is>
      </c>
      <c r="D118" s="32" t="inlineStr">
        <is>
          <t>Architrave — Window</t>
        </is>
      </c>
      <c r="E118" s="32" t="inlineStr">
        <is>
          <t>Timber Architrave | 12 x 75 x 2400mm Timber</t>
        </is>
      </c>
      <c r="F118" s="32" t="inlineStr">
        <is>
          <t>lm</t>
        </is>
      </c>
      <c r="G118" s="32" t="n">
        <v>52.8</v>
      </c>
      <c r="H118" s="32" t="inlineStr">
        <is>
          <t>calculated</t>
        </is>
      </c>
      <c r="I118" s="32" t="inlineStr">
        <is>
          <t>window_count × 4.8 lm/window = 11 × 4.8</t>
        </is>
      </c>
      <c r="J118" s="32" t="inlineStr">
        <is>
          <t>derived from window_count=11</t>
        </is>
      </c>
      <c r="K118" s="32" t="inlineStr">
        <is>
          <t>window_count × 4.8</t>
        </is>
      </c>
      <c r="L118" s="32" t="inlineStr">
        <is>
          <t>MEDIUM</t>
        </is>
      </c>
    </row>
    <row r="119">
      <c r="A119" s="32" t="inlineStr">
        <is>
          <t>E01</t>
        </is>
      </c>
      <c r="B119" s="32" t="inlineStr">
        <is>
          <t>50115</t>
        </is>
      </c>
      <c r="C119" s="32" t="inlineStr">
        <is>
          <t>50115 - Internal Linings &amp; Ceilings</t>
        </is>
      </c>
      <c r="D119" s="32" t="inlineStr">
        <is>
          <t>External Wall Lining — FC Sheet (6mm, 1200×2700)</t>
        </is>
      </c>
      <c r="E119" s="32" t="inlineStr">
        <is>
          <t>External Lining | FC Sheet, 1200 x 2400mm</t>
        </is>
      </c>
      <c r="F119" s="32" t="inlineStr">
        <is>
          <t>sheets</t>
        </is>
      </c>
      <c r="G119" s="32" t="n">
        <v>27</v>
      </c>
      <c r="H119" s="32" t="inlineStr">
        <is>
          <t>calculated</t>
        </is>
      </c>
      <c r="I119" s="32" t="inlineStr">
        <is>
          <t>ceil(ext_wall_area_net × 1.05 / 3.24)</t>
        </is>
      </c>
      <c r="J119" s="32" t="inlineStr">
        <is>
          <t>dxf_geometry: ext_wall_lm=38.40 m × h=2.4 m → gross=92.16 m² − openings=10.941 m² → net=81.22 m²</t>
        </is>
      </c>
      <c r="K119" s="32" t="inlineStr">
        <is>
          <t>ceil(81.22 × 1.05 / 3.24)</t>
        </is>
      </c>
      <c r="L119" s="32" t="inlineStr">
        <is>
          <t>MEDIUM</t>
        </is>
      </c>
    </row>
    <row r="120">
      <c r="A120" s="32" t="inlineStr">
        <is>
          <t>E02</t>
        </is>
      </c>
      <c r="B120" s="32" t="inlineStr">
        <is>
          <t>50115</t>
        </is>
      </c>
      <c r="C120" s="32" t="inlineStr">
        <is>
          <t>50115 - Internal Linings &amp; Ceilings</t>
        </is>
      </c>
      <c r="D120" s="32" t="inlineStr">
        <is>
          <t>External Wall Lining — FC Sheet Screws</t>
        </is>
      </c>
      <c r="E120" s="32" t="inlineStr">
        <is>
          <t>Fixing | FC Sheet Screw (External)</t>
        </is>
      </c>
      <c r="F120" s="32" t="inlineStr">
        <is>
          <t>boxes</t>
        </is>
      </c>
      <c r="G120" s="32" t="n">
        <v>11</v>
      </c>
      <c r="H120" s="32" t="inlineStr">
        <is>
          <t>calculated</t>
        </is>
      </c>
      <c r="I120" s="32" t="inlineStr">
        <is>
          <t>ceil(wall_area_net × 25 screws/m² / 200/box)</t>
        </is>
      </c>
      <c r="J120" s="32" t="inlineStr">
        <is>
          <t>derived from ext_wall_area_net=81.22 m²</t>
        </is>
      </c>
      <c r="K120" s="32" t="inlineStr">
        <is>
          <t>ceil(area × 25 / 200)</t>
        </is>
      </c>
      <c r="L120" s="32" t="inlineStr">
        <is>
          <t>LOW</t>
        </is>
      </c>
    </row>
    <row r="121">
      <c r="A121" s="32" t="inlineStr">
        <is>
          <t>E03</t>
        </is>
      </c>
      <c r="B121" s="32" t="inlineStr">
        <is>
          <t>50115</t>
        </is>
      </c>
      <c r="C121" s="32" t="inlineStr">
        <is>
          <t>50115 - Internal Linings &amp; Ceilings</t>
        </is>
      </c>
      <c r="D121" s="32" t="inlineStr">
        <is>
          <t>Internal Wall Lining — FC Sheet (6mm, 1200×2700)</t>
        </is>
      </c>
      <c r="E121" s="32" t="inlineStr">
        <is>
          <t>Internal Lining | FC Sheet, 1200 x 2400mm</t>
        </is>
      </c>
      <c r="F121" s="32" t="inlineStr">
        <is>
          <t>sheets</t>
        </is>
      </c>
      <c r="G121" s="32" t="n">
        <v>41</v>
      </c>
      <c r="H121" s="32" t="inlineStr">
        <is>
          <t>calculated</t>
        </is>
      </c>
      <c r="I121" s="32" t="inlineStr">
        <is>
          <t>ceil(int_wall_area_net × 1.05 / 3.24)</t>
        </is>
      </c>
      <c r="J121" s="32" t="inlineStr">
        <is>
          <t>dxf_geometry: int_wall_lm=29.40 m × h=2.4 m × 2 faces = 141.12 m² − int_doors=16.320 m² → net=124.80 m²</t>
        </is>
      </c>
      <c r="K121" s="32" t="inlineStr">
        <is>
          <t>ceil(124.80 × 1.05 / 3.24)</t>
        </is>
      </c>
      <c r="L121" s="32" t="inlineStr">
        <is>
          <t>HIGH</t>
        </is>
      </c>
    </row>
    <row r="122">
      <c r="A122" s="32" t="inlineStr">
        <is>
          <t>E04</t>
        </is>
      </c>
      <c r="B122" s="32" t="inlineStr">
        <is>
          <t>50115</t>
        </is>
      </c>
      <c r="C122" s="32" t="inlineStr">
        <is>
          <t>50115 - Internal Linings &amp; Ceilings</t>
        </is>
      </c>
      <c r="D122" s="32" t="inlineStr">
        <is>
          <t>Internal Wall Lining — FC Sheet Screws</t>
        </is>
      </c>
      <c r="E122" s="32" t="inlineStr">
        <is>
          <t>Fixing | FC Sheet Screw (Internal)</t>
        </is>
      </c>
      <c r="F122" s="32" t="inlineStr">
        <is>
          <t>boxes</t>
        </is>
      </c>
      <c r="G122" s="32" t="n">
        <v>16</v>
      </c>
      <c r="H122" s="32" t="inlineStr">
        <is>
          <t>calculated</t>
        </is>
      </c>
      <c r="I122" s="32" t="inlineStr">
        <is>
          <t>ceil(both_face_area_net × 25 screws/m² / 200/box)</t>
        </is>
      </c>
      <c r="J122" s="32" t="inlineStr">
        <is>
          <t>derived from int_wall_area_both_net=124.80 m²</t>
        </is>
      </c>
      <c r="K122" s="32" t="inlineStr">
        <is>
          <t>ceil(area × 25 / 200)</t>
        </is>
      </c>
      <c r="L122" s="32" t="inlineStr">
        <is>
          <t>LOW</t>
        </is>
      </c>
    </row>
    <row r="123">
      <c r="A123" s="32" t="inlineStr">
        <is>
          <t>E05</t>
        </is>
      </c>
      <c r="B123" s="32" t="inlineStr">
        <is>
          <t>50115</t>
        </is>
      </c>
      <c r="C123" s="32" t="inlineStr">
        <is>
          <t>50115 - Internal Linings &amp; Ceilings</t>
        </is>
      </c>
      <c r="D123" s="32" t="inlineStr">
        <is>
          <t>Internal Wall Lining — FC Sheet Joiner Strip</t>
        </is>
      </c>
      <c r="E123" s="32" t="inlineStr">
        <is>
          <t>Internal Lining Accessory | PVC H Joiner</t>
        </is>
      </c>
      <c r="F123" s="32" t="inlineStr">
        <is>
          <t>lm</t>
        </is>
      </c>
      <c r="G123" s="32" t="n">
        <v>117.6</v>
      </c>
      <c r="H123" s="32" t="inlineStr">
        <is>
          <t>calculated</t>
        </is>
      </c>
      <c r="I123" s="32" t="inlineStr">
        <is>
          <t>ceil(face_lm / 1.2) × h = ceil(58.8/1.2) × 2.4</t>
        </is>
      </c>
      <c r="J123" s="32" t="inlineStr">
        <is>
          <t>dxf_geometry: int_wall_lm=29.40 m × 2 faces = 58.8 lm</t>
        </is>
      </c>
      <c r="K123" s="32" t="inlineStr">
        <is>
          <t>ceil(58.8/1.2) × 2.4</t>
        </is>
      </c>
      <c r="L123" s="32" t="inlineStr">
        <is>
          <t>LOW</t>
        </is>
      </c>
    </row>
    <row r="124">
      <c r="A124" s="32" t="inlineStr">
        <is>
          <t>E06</t>
        </is>
      </c>
      <c r="B124" s="32" t="inlineStr">
        <is>
          <t>50115</t>
        </is>
      </c>
      <c r="C124" s="32" t="inlineStr">
        <is>
          <t>50115 - Internal Linings &amp; Ceilings</t>
        </is>
      </c>
      <c r="D124" s="32" t="inlineStr">
        <is>
          <t>Wet Area Wall Lining — Waterproof Board / FC</t>
        </is>
      </c>
      <c r="E124" s="32" t="inlineStr">
        <is>
          <t>Internal Lining | Waterproof Board / FC, Wet Area</t>
        </is>
      </c>
      <c r="F124" s="32" t="inlineStr">
        <is>
          <t>sheets</t>
        </is>
      </c>
      <c r="G124" s="32" t="n">
        <v>7</v>
      </c>
      <c r="H124" s="32" t="inlineStr">
        <is>
          <t>inferred</t>
        </is>
      </c>
      <c r="I124" s="32" t="inlineStr">
        <is>
          <t>ceil(wet_room_wall_area × 1.05 / 3.24)</t>
        </is>
      </c>
      <c r="J124" s="32" t="inlineStr">
        <is>
          <t>rooms=['Toilet']: total_wet_wall_area≈20.40 m²</t>
        </is>
      </c>
      <c r="K124" s="32" t="inlineStr">
        <is>
          <t>sum(4×sqrt(room_area)×h) → ceil(×1.05/3.24)</t>
        </is>
      </c>
      <c r="L124" s="32" t="inlineStr">
        <is>
          <t>LOW</t>
        </is>
      </c>
    </row>
    <row r="125">
      <c r="A125" s="32" t="inlineStr">
        <is>
          <t>E07</t>
        </is>
      </c>
      <c r="B125" s="32" t="inlineStr">
        <is>
          <t>50115</t>
        </is>
      </c>
      <c r="C125" s="32" t="inlineStr">
        <is>
          <t>50115 - Internal Linings &amp; Ceilings</t>
        </is>
      </c>
      <c r="D125" s="32" t="inlineStr">
        <is>
          <t>Ceiling Lining — FC Sheet (6mm, 1200×2400)</t>
        </is>
      </c>
      <c r="E125" s="32" t="inlineStr">
        <is>
          <t>Ceiling Lining | FC Sheet, 1200 x 2400mm</t>
        </is>
      </c>
      <c r="F125" s="32" t="inlineStr">
        <is>
          <t>sheets</t>
        </is>
      </c>
      <c r="G125" s="32" t="n">
        <v>24</v>
      </c>
      <c r="H125" s="32" t="inlineStr">
        <is>
          <t>calculated</t>
        </is>
      </c>
      <c r="I125" s="32" t="inlineStr">
        <is>
          <t>ceil(ceiling_area × 1.05 / 2.88)</t>
        </is>
      </c>
      <c r="J125" s="32" t="inlineStr">
        <is>
          <t>derived: ceiling_area=64.80 m²</t>
        </is>
      </c>
      <c r="K125" s="32" t="inlineStr">
        <is>
          <t>ceil(64.80 × 1.05 / 2.88)</t>
        </is>
      </c>
      <c r="L125" s="32" t="inlineStr">
        <is>
          <t>MEDIUM</t>
        </is>
      </c>
    </row>
    <row r="126">
      <c r="A126" s="32" t="inlineStr">
        <is>
          <t>E08</t>
        </is>
      </c>
      <c r="B126" s="32" t="inlineStr">
        <is>
          <t>50115</t>
        </is>
      </c>
      <c r="C126" s="32" t="inlineStr">
        <is>
          <t>50115 - Internal Linings &amp; Ceilings</t>
        </is>
      </c>
      <c r="D126" s="32" t="inlineStr">
        <is>
          <t>Ceiling Batten (LGS / timber)</t>
        </is>
      </c>
      <c r="E126" s="32" t="inlineStr">
        <is>
          <t>Ceiling Batten | G22</t>
        </is>
      </c>
      <c r="F126" s="32" t="inlineStr">
        <is>
          <t>lm</t>
        </is>
      </c>
      <c r="G126" s="32" t="n">
        <v>162</v>
      </c>
      <c r="H126" s="32" t="inlineStr">
        <is>
          <t>calculated</t>
        </is>
      </c>
      <c r="I126" s="32" t="inlineStr">
        <is>
          <t>ceiling_area / (400 mm spacing)</t>
        </is>
      </c>
      <c r="J126" s="32" t="inlineStr">
        <is>
          <t>derived: ceiling_area=64.80 m²</t>
        </is>
      </c>
      <c r="K126" s="32" t="inlineStr">
        <is>
          <t>64.80 / 0.4</t>
        </is>
      </c>
      <c r="L126" s="32" t="inlineStr">
        <is>
          <t>MEDIUM</t>
        </is>
      </c>
    </row>
    <row r="127">
      <c r="A127" s="32" t="inlineStr">
        <is>
          <t>E09</t>
        </is>
      </c>
      <c r="B127" s="32" t="inlineStr">
        <is>
          <t>50115</t>
        </is>
      </c>
      <c r="C127" s="32" t="inlineStr">
        <is>
          <t>50115 - Internal Linings &amp; Ceilings</t>
        </is>
      </c>
      <c r="D127" s="32" t="inlineStr">
        <is>
          <t>Ceiling FC Sheet Screws</t>
        </is>
      </c>
      <c r="E127" s="32" t="inlineStr">
        <is>
          <t>Fixing | FC Sheet Screw (Ceiling)</t>
        </is>
      </c>
      <c r="F127" s="32" t="inlineStr">
        <is>
          <t>boxes</t>
        </is>
      </c>
      <c r="G127" s="32" t="n">
        <v>7</v>
      </c>
      <c r="H127" s="32" t="inlineStr">
        <is>
          <t>calculated</t>
        </is>
      </c>
      <c r="I127" s="32" t="inlineStr">
        <is>
          <t>ceil(ceil_area × 20 screws/m² / 200/box)</t>
        </is>
      </c>
      <c r="J127" s="32" t="inlineStr">
        <is>
          <t>derived from ceiling_area=64.80 m²</t>
        </is>
      </c>
      <c r="K127" s="32" t="inlineStr">
        <is>
          <t>ceil(area × 20 / 200)</t>
        </is>
      </c>
      <c r="L127" s="32" t="inlineStr">
        <is>
          <t>LOW</t>
        </is>
      </c>
    </row>
    <row r="128">
      <c r="A128" s="32" t="inlineStr">
        <is>
          <t>E10</t>
        </is>
      </c>
      <c r="B128" s="32" t="inlineStr">
        <is>
          <t>50115</t>
        </is>
      </c>
      <c r="C128" s="32" t="inlineStr">
        <is>
          <t>50115 - Internal Linings &amp; Ceilings</t>
        </is>
      </c>
      <c r="D128" s="32" t="inlineStr">
        <is>
          <t>Verandah Soffit Lining — FC Sheet (6mm, 1200×2400)</t>
        </is>
      </c>
      <c r="E128" s="32" t="inlineStr">
        <is>
          <t>Verandah Soffit Lining — FC Sheet (6mm, 1200×2400)</t>
        </is>
      </c>
      <c r="F128" s="32" t="inlineStr">
        <is>
          <t>sheets</t>
        </is>
      </c>
      <c r="G128" s="32" t="n">
        <v>8</v>
      </c>
      <c r="H128" s="32" t="inlineStr">
        <is>
          <t>calculated</t>
        </is>
      </c>
      <c r="I128" s="32" t="inlineStr">
        <is>
          <t>ceil(verandah_soffit_area × 1.05 / 2.88)</t>
        </is>
      </c>
      <c r="J128" s="32" t="inlineStr">
        <is>
          <t>dxf_geometry: verandah_area=21.60 m² (soffit = verandah deck area)</t>
        </is>
      </c>
      <c r="K128" s="32" t="inlineStr">
        <is>
          <t>ceil(21.60 × 1.05 / 2.88)</t>
        </is>
      </c>
      <c r="L128" s="32" t="inlineStr">
        <is>
          <t>HIGH</t>
        </is>
      </c>
    </row>
    <row r="129">
      <c r="A129" s="32" t="inlineStr">
        <is>
          <t>E11</t>
        </is>
      </c>
      <c r="B129" s="32" t="inlineStr">
        <is>
          <t>50115</t>
        </is>
      </c>
      <c r="C129" s="32" t="inlineStr">
        <is>
          <t>50115 - Internal Linings &amp; Ceilings</t>
        </is>
      </c>
      <c r="D129" s="32" t="inlineStr">
        <is>
          <t>Verandah Soffit Batten (LGS / timber)</t>
        </is>
      </c>
      <c r="E129" s="32" t="inlineStr">
        <is>
          <t>Verandah Soffit Batten (LGS / timber)</t>
        </is>
      </c>
      <c r="F129" s="32" t="inlineStr">
        <is>
          <t>lm</t>
        </is>
      </c>
      <c r="G129" s="32" t="n">
        <v>54</v>
      </c>
      <c r="H129" s="32" t="inlineStr">
        <is>
          <t>calculated</t>
        </is>
      </c>
      <c r="I129" s="32" t="inlineStr">
        <is>
          <t>verandah_soffit_area / (400 mm spacing)</t>
        </is>
      </c>
      <c r="J129" s="32" t="inlineStr">
        <is>
          <t>dxf_geometry: verandah_soffit_area=21.60 m²</t>
        </is>
      </c>
      <c r="K129" s="32" t="inlineStr">
        <is>
          <t>21.60 / 0.4</t>
        </is>
      </c>
      <c r="L129" s="32" t="inlineStr">
        <is>
          <t>MEDIUM</t>
        </is>
      </c>
    </row>
    <row r="130">
      <c r="A130" s="32" t="inlineStr">
        <is>
          <t>E12</t>
        </is>
      </c>
      <c r="B130" s="32" t="inlineStr">
        <is>
          <t>50115</t>
        </is>
      </c>
      <c r="C130" s="32" t="inlineStr">
        <is>
          <t>50115 - Internal Linings &amp; Ceilings</t>
        </is>
      </c>
      <c r="D130" s="32" t="inlineStr">
        <is>
          <t>Cornice / Ceiling Trim</t>
        </is>
      </c>
      <c r="E130" s="32" t="inlineStr">
        <is>
          <t>Timber Cornice | 25 x 25 x 2400mm Timber</t>
        </is>
      </c>
      <c r="F130" s="32" t="inlineStr">
        <is>
          <t>lm</t>
        </is>
      </c>
      <c r="G130" s="32" t="n">
        <v>38.4</v>
      </c>
      <c r="H130" s="32" t="inlineStr">
        <is>
          <t>calculated</t>
        </is>
      </c>
      <c r="I130" s="32">
        <f> ext_wall_perimeter (all internal faces of external walls)</f>
        <v/>
      </c>
      <c r="J130" s="32" t="inlineStr">
        <is>
          <t>dxf_geometry: ext_wall_perimeter=38.40 m</t>
        </is>
      </c>
      <c r="K130" s="32" t="inlineStr">
        <is>
          <t>cornice = ext_wall_perimeter</t>
        </is>
      </c>
      <c r="L130" s="32" t="inlineStr">
        <is>
          <t>MEDIUM</t>
        </is>
      </c>
    </row>
    <row r="131">
      <c r="A131" s="32" t="inlineStr">
        <is>
          <t>I01</t>
        </is>
      </c>
      <c r="B131" s="32" t="inlineStr">
        <is>
          <t>50117</t>
        </is>
      </c>
      <c r="C131" s="32" t="inlineStr">
        <is>
          <t>50117 - Services (Hydraulics — Partial)</t>
        </is>
      </c>
      <c r="D131" s="32" t="inlineStr">
        <is>
          <t>Hand Basin (dispensary)</t>
        </is>
      </c>
      <c r="E131" s="32" t="inlineStr">
        <is>
          <t>Hydraulics | Hand Basin</t>
        </is>
      </c>
      <c r="F131" s="32" t="inlineStr">
        <is>
          <t>nr</t>
        </is>
      </c>
      <c r="G131" s="32" t="n">
        <v>1</v>
      </c>
      <c r="H131" s="32" t="inlineStr">
        <is>
          <t>inferred</t>
        </is>
      </c>
      <c r="I131" s="32" t="inlineStr">
        <is>
          <t>room_template:pharmacy</t>
        </is>
      </c>
      <c r="J131" s="32" t="inlineStr">
        <is>
          <t>room_schedule: Dispensary (type=pharmacy)</t>
        </is>
      </c>
      <c r="K131" s="32" t="inlineStr">
        <is>
          <t>room_template:pharmacy → Hand Basin (dispensary)</t>
        </is>
      </c>
      <c r="L131" s="32" t="inlineStr">
        <is>
          <t>LOW</t>
        </is>
      </c>
    </row>
    <row r="132">
      <c r="A132" s="32" t="inlineStr">
        <is>
          <t>I02</t>
        </is>
      </c>
      <c r="B132" s="32" t="inlineStr">
        <is>
          <t>50117</t>
        </is>
      </c>
      <c r="C132" s="32" t="inlineStr">
        <is>
          <t>50117 - Services (Hydraulics — Partial)</t>
        </is>
      </c>
      <c r="D132" s="32" t="inlineStr">
        <is>
          <t>Tapware (basin)</t>
        </is>
      </c>
      <c r="E132" s="32" t="inlineStr">
        <is>
          <t>Hydraulics | Tapware</t>
        </is>
      </c>
      <c r="F132" s="32" t="inlineStr">
        <is>
          <t>set</t>
        </is>
      </c>
      <c r="G132" s="32" t="n">
        <v>1</v>
      </c>
      <c r="H132" s="32" t="inlineStr">
        <is>
          <t>inferred</t>
        </is>
      </c>
      <c r="I132" s="32" t="inlineStr">
        <is>
          <t>room_template:pharmacy</t>
        </is>
      </c>
      <c r="J132" s="32" t="inlineStr">
        <is>
          <t>room_schedule: Dispensary (type=pharmacy)</t>
        </is>
      </c>
      <c r="K132" s="32" t="inlineStr">
        <is>
          <t>room_template:pharmacy → Tapware (basin)</t>
        </is>
      </c>
      <c r="L132" s="32" t="inlineStr">
        <is>
          <t>LOW</t>
        </is>
      </c>
    </row>
    <row r="133">
      <c r="A133" s="32" t="inlineStr">
        <is>
          <t>I03</t>
        </is>
      </c>
      <c r="B133" s="32" t="inlineStr">
        <is>
          <t>50117</t>
        </is>
      </c>
      <c r="C133" s="32" t="inlineStr">
        <is>
          <t>50117 - Services (Hydraulics — Partial)</t>
        </is>
      </c>
      <c r="D133" s="32" t="inlineStr">
        <is>
          <t>Cold Room / Refrigeration Allowance</t>
        </is>
      </c>
      <c r="E133" s="32" t="inlineStr">
        <is>
          <t>Services | Cold Room / Refrigeration (PLACEHOLDER)</t>
        </is>
      </c>
      <c r="F133" s="32" t="inlineStr">
        <is>
          <t>item</t>
        </is>
      </c>
      <c r="G133" s="32" t="n">
        <v>1</v>
      </c>
      <c r="H133" s="32" t="inlineStr">
        <is>
          <t>inferred</t>
        </is>
      </c>
      <c r="I133" s="32" t="inlineStr">
        <is>
          <t>room_template:pharmacy</t>
        </is>
      </c>
      <c r="J133" s="32" t="inlineStr">
        <is>
          <t>room_schedule: Dispensary (type=pharmacy)</t>
        </is>
      </c>
      <c r="K133" s="32" t="inlineStr">
        <is>
          <t>room_template:pharmacy → Cold Room / Refrigeration Allowance</t>
        </is>
      </c>
      <c r="L133" s="32" t="inlineStr">
        <is>
          <t>LOW</t>
        </is>
      </c>
    </row>
    <row r="134">
      <c r="A134" s="32" t="inlineStr">
        <is>
          <t>I04</t>
        </is>
      </c>
      <c r="B134" s="32" t="inlineStr">
        <is>
          <t>50117</t>
        </is>
      </c>
      <c r="C134" s="32" t="inlineStr">
        <is>
          <t>50117 - Services (Hydraulics — Partial)</t>
        </is>
      </c>
      <c r="D134" s="32" t="inlineStr">
        <is>
          <t>Builder's Works — Electrical (pharmacy)</t>
        </is>
      </c>
      <c r="E134" s="32" t="inlineStr">
        <is>
          <t>Services | Builder's Works, Electrical</t>
        </is>
      </c>
      <c r="F134" s="32" t="inlineStr">
        <is>
          <t>item</t>
        </is>
      </c>
      <c r="G134" s="32" t="n">
        <v>1</v>
      </c>
      <c r="H134" s="32" t="inlineStr">
        <is>
          <t>inferred</t>
        </is>
      </c>
      <c r="I134" s="32" t="inlineStr">
        <is>
          <t>room_template:pharmacy</t>
        </is>
      </c>
      <c r="J134" s="32" t="inlineStr">
        <is>
          <t>room_schedule: Dispensary (type=pharmacy)</t>
        </is>
      </c>
      <c r="K134" s="32" t="inlineStr">
        <is>
          <t>room_template:pharmacy → Builder's Works — Electrical (pharmacy)</t>
        </is>
      </c>
      <c r="L134" s="32" t="inlineStr">
        <is>
          <t>LOW</t>
        </is>
      </c>
    </row>
    <row r="135">
      <c r="A135" s="32" t="inlineStr">
        <is>
          <t>I05</t>
        </is>
      </c>
      <c r="B135" s="32" t="inlineStr">
        <is>
          <t>50117</t>
        </is>
      </c>
      <c r="C135" s="32" t="inlineStr">
        <is>
          <t>50117 - Services (Hydraulics — Partial)</t>
        </is>
      </c>
      <c r="D135" s="32" t="inlineStr">
        <is>
          <t>Builder's Works — Services (unclassified room)</t>
        </is>
      </c>
      <c r="E135" s="32" t="inlineStr">
        <is>
          <t>Services | Builder's Works, Services</t>
        </is>
      </c>
      <c r="F135" s="32" t="inlineStr">
        <is>
          <t>item</t>
        </is>
      </c>
      <c r="G135" s="32" t="n">
        <v>1</v>
      </c>
      <c r="H135" s="32" t="inlineStr">
        <is>
          <t>inferred</t>
        </is>
      </c>
      <c r="I135" s="32" t="inlineStr">
        <is>
          <t>room_template:waiting</t>
        </is>
      </c>
      <c r="J135" s="32" t="inlineStr">
        <is>
          <t>room_schedule: Waiting / Reception (type=waiting)</t>
        </is>
      </c>
      <c r="K135" s="32" t="inlineStr">
        <is>
          <t>room_template:waiting → Builder's Works — Services (unclassified room)</t>
        </is>
      </c>
      <c r="L135" s="32" t="inlineStr">
        <is>
          <t>LOW</t>
        </is>
      </c>
    </row>
    <row r="136">
      <c r="A136" s="32" t="inlineStr">
        <is>
          <t>I06</t>
        </is>
      </c>
      <c r="B136" s="32" t="inlineStr">
        <is>
          <t>50117</t>
        </is>
      </c>
      <c r="C136" s="32" t="inlineStr">
        <is>
          <t>50117 - Services (Hydraulics — Partial)</t>
        </is>
      </c>
      <c r="D136" s="32" t="inlineStr">
        <is>
          <t>Hand Basin (consulting room)</t>
        </is>
      </c>
      <c r="E136" s="32" t="inlineStr">
        <is>
          <t>Hydraulics | Hand Basin</t>
        </is>
      </c>
      <c r="F136" s="32" t="inlineStr">
        <is>
          <t>nr</t>
        </is>
      </c>
      <c r="G136" s="32" t="n">
        <v>1</v>
      </c>
      <c r="H136" s="32" t="inlineStr">
        <is>
          <t>inferred</t>
        </is>
      </c>
      <c r="I136" s="32" t="inlineStr">
        <is>
          <t>room_template:consulting</t>
        </is>
      </c>
      <c r="J136" s="32" t="inlineStr">
        <is>
          <t>room_schedule: Consultation Room (type=consulting)</t>
        </is>
      </c>
      <c r="K136" s="32" t="inlineStr">
        <is>
          <t>room_template:consulting → Hand Basin (consulting room)</t>
        </is>
      </c>
      <c r="L136" s="32" t="inlineStr">
        <is>
          <t>LOW</t>
        </is>
      </c>
    </row>
    <row r="137">
      <c r="A137" s="32" t="inlineStr">
        <is>
          <t>I07</t>
        </is>
      </c>
      <c r="B137" s="32" t="inlineStr">
        <is>
          <t>50117</t>
        </is>
      </c>
      <c r="C137" s="32" t="inlineStr">
        <is>
          <t>50117 - Services (Hydraulics — Partial)</t>
        </is>
      </c>
      <c r="D137" s="32" t="inlineStr">
        <is>
          <t>Tapware (basin)</t>
        </is>
      </c>
      <c r="E137" s="32" t="inlineStr">
        <is>
          <t>Hydraulics | Tapware</t>
        </is>
      </c>
      <c r="F137" s="32" t="inlineStr">
        <is>
          <t>set</t>
        </is>
      </c>
      <c r="G137" s="32" t="n">
        <v>1</v>
      </c>
      <c r="H137" s="32" t="inlineStr">
        <is>
          <t>inferred</t>
        </is>
      </c>
      <c r="I137" s="32" t="inlineStr">
        <is>
          <t>room_template:consulting</t>
        </is>
      </c>
      <c r="J137" s="32" t="inlineStr">
        <is>
          <t>room_schedule: Consultation Room (type=consulting)</t>
        </is>
      </c>
      <c r="K137" s="32" t="inlineStr">
        <is>
          <t>room_template:consulting → Tapware (basin)</t>
        </is>
      </c>
      <c r="L137" s="32" t="inlineStr">
        <is>
          <t>LOW</t>
        </is>
      </c>
    </row>
    <row r="138">
      <c r="A138" s="32" t="inlineStr">
        <is>
          <t>I08</t>
        </is>
      </c>
      <c r="B138" s="32" t="inlineStr">
        <is>
          <t>50117</t>
        </is>
      </c>
      <c r="C138" s="32" t="inlineStr">
        <is>
          <t>50117 - Services (Hydraulics — Partial)</t>
        </is>
      </c>
      <c r="D138" s="32" t="inlineStr">
        <is>
          <t>Builder's Works — Plumbing (consulting)</t>
        </is>
      </c>
      <c r="E138" s="32" t="inlineStr">
        <is>
          <t>Hydraulics | Builder's Works (Plumbing)</t>
        </is>
      </c>
      <c r="F138" s="32" t="inlineStr">
        <is>
          <t>item</t>
        </is>
      </c>
      <c r="G138" s="32" t="n">
        <v>1</v>
      </c>
      <c r="H138" s="32" t="inlineStr">
        <is>
          <t>inferred</t>
        </is>
      </c>
      <c r="I138" s="32" t="inlineStr">
        <is>
          <t>room_template:consulting</t>
        </is>
      </c>
      <c r="J138" s="32" t="inlineStr">
        <is>
          <t>room_schedule: Consultation Room (type=consulting)</t>
        </is>
      </c>
      <c r="K138" s="32" t="inlineStr">
        <is>
          <t>room_template:consulting → Builder's Works — Plumbing (consulting)</t>
        </is>
      </c>
      <c r="L138" s="32" t="inlineStr">
        <is>
          <t>LOW</t>
        </is>
      </c>
    </row>
    <row r="139">
      <c r="A139" s="32" t="inlineStr">
        <is>
          <t>I09</t>
        </is>
      </c>
      <c r="B139" s="32" t="inlineStr">
        <is>
          <t>50117</t>
        </is>
      </c>
      <c r="C139" s="32" t="inlineStr">
        <is>
          <t>50117 - Services (Hydraulics — Partial)</t>
        </is>
      </c>
      <c r="D139" s="32" t="inlineStr">
        <is>
          <t>Builder's Works — Electrical (office)</t>
        </is>
      </c>
      <c r="E139" s="32" t="inlineStr">
        <is>
          <t>Services | Builder's Works, Electrical</t>
        </is>
      </c>
      <c r="F139" s="32" t="inlineStr">
        <is>
          <t>item</t>
        </is>
      </c>
      <c r="G139" s="32" t="n">
        <v>1</v>
      </c>
      <c r="H139" s="32" t="inlineStr">
        <is>
          <t>inferred</t>
        </is>
      </c>
      <c r="I139" s="32" t="inlineStr">
        <is>
          <t>room_template:office</t>
        </is>
      </c>
      <c r="J139" s="32" t="inlineStr">
        <is>
          <t>room_schedule: Staff Room (type=office)</t>
        </is>
      </c>
      <c r="K139" s="32" t="inlineStr">
        <is>
          <t>room_template:office → Builder's Works — Electrical (office)</t>
        </is>
      </c>
      <c r="L139" s="32" t="inlineStr">
        <is>
          <t>LOW</t>
        </is>
      </c>
    </row>
    <row r="140">
      <c r="A140" s="32" t="inlineStr">
        <is>
          <t>I10</t>
        </is>
      </c>
      <c r="B140" s="32" t="inlineStr">
        <is>
          <t>50117</t>
        </is>
      </c>
      <c r="C140" s="32" t="inlineStr">
        <is>
          <t>50117 - Services (Hydraulics — Partial)</t>
        </is>
      </c>
      <c r="D140" s="32" t="inlineStr">
        <is>
          <t>WC Pan (close-coupled)</t>
        </is>
      </c>
      <c r="E140" s="32" t="inlineStr">
        <is>
          <t>Hydraulics | WC Pan (close-coupled)</t>
        </is>
      </c>
      <c r="F140" s="32" t="inlineStr">
        <is>
          <t>nr</t>
        </is>
      </c>
      <c r="G140" s="32" t="n">
        <v>1</v>
      </c>
      <c r="H140" s="32" t="inlineStr">
        <is>
          <t>inferred</t>
        </is>
      </c>
      <c r="I140" s="32" t="inlineStr">
        <is>
          <t>room_template:toilet</t>
        </is>
      </c>
      <c r="J140" s="32" t="inlineStr">
        <is>
          <t>room_schedule: Toilet (type=toilet)</t>
        </is>
      </c>
      <c r="K140" s="32" t="inlineStr">
        <is>
          <t>room_template:toilet → WC Pan (close-coupled)</t>
        </is>
      </c>
      <c r="L140" s="32" t="inlineStr">
        <is>
          <t>MEDIUM</t>
        </is>
      </c>
    </row>
    <row r="141">
      <c r="A141" s="32" t="inlineStr">
        <is>
          <t>I11</t>
        </is>
      </c>
      <c r="B141" s="32" t="inlineStr">
        <is>
          <t>50117</t>
        </is>
      </c>
      <c r="C141" s="32" t="inlineStr">
        <is>
          <t>50117 - Services (Hydraulics — Partial)</t>
        </is>
      </c>
      <c r="D141" s="32" t="inlineStr">
        <is>
          <t>WC Cistern</t>
        </is>
      </c>
      <c r="E141" s="32" t="inlineStr">
        <is>
          <t>Hydraulics | WC Cistern</t>
        </is>
      </c>
      <c r="F141" s="32" t="inlineStr">
        <is>
          <t>nr</t>
        </is>
      </c>
      <c r="G141" s="32" t="n">
        <v>1</v>
      </c>
      <c r="H141" s="32" t="inlineStr">
        <is>
          <t>inferred</t>
        </is>
      </c>
      <c r="I141" s="32" t="inlineStr">
        <is>
          <t>room_template:toilet</t>
        </is>
      </c>
      <c r="J141" s="32" t="inlineStr">
        <is>
          <t>room_schedule: Toilet (type=toilet)</t>
        </is>
      </c>
      <c r="K141" s="32" t="inlineStr">
        <is>
          <t>room_template:toilet → WC Cistern</t>
        </is>
      </c>
      <c r="L141" s="32" t="inlineStr">
        <is>
          <t>MEDIUM</t>
        </is>
      </c>
    </row>
    <row r="142">
      <c r="A142" s="32" t="inlineStr">
        <is>
          <t>I12</t>
        </is>
      </c>
      <c r="B142" s="32" t="inlineStr">
        <is>
          <t>50117</t>
        </is>
      </c>
      <c r="C142" s="32" t="inlineStr">
        <is>
          <t>50117 - Services (Hydraulics — Partial)</t>
        </is>
      </c>
      <c r="D142" s="32" t="inlineStr">
        <is>
          <t>Hand Basin</t>
        </is>
      </c>
      <c r="E142" s="32" t="inlineStr">
        <is>
          <t>Hydraulics | Hand Basin</t>
        </is>
      </c>
      <c r="F142" s="32" t="inlineStr">
        <is>
          <t>nr</t>
        </is>
      </c>
      <c r="G142" s="32" t="n">
        <v>1</v>
      </c>
      <c r="H142" s="32" t="inlineStr">
        <is>
          <t>inferred</t>
        </is>
      </c>
      <c r="I142" s="32" t="inlineStr">
        <is>
          <t>room_template:toilet</t>
        </is>
      </c>
      <c r="J142" s="32" t="inlineStr">
        <is>
          <t>room_schedule: Toilet (type=toilet)</t>
        </is>
      </c>
      <c r="K142" s="32" t="inlineStr">
        <is>
          <t>room_template:toilet → Hand Basin</t>
        </is>
      </c>
      <c r="L142" s="32" t="inlineStr">
        <is>
          <t>MEDIUM</t>
        </is>
      </c>
    </row>
    <row r="143">
      <c r="A143" s="32" t="inlineStr">
        <is>
          <t>I13</t>
        </is>
      </c>
      <c r="B143" s="32" t="inlineStr">
        <is>
          <t>50117</t>
        </is>
      </c>
      <c r="C143" s="32" t="inlineStr">
        <is>
          <t>50117 - Services (Hydraulics — Partial)</t>
        </is>
      </c>
      <c r="D143" s="32" t="inlineStr">
        <is>
          <t>Tapware (basin)</t>
        </is>
      </c>
      <c r="E143" s="32" t="inlineStr">
        <is>
          <t>Hydraulics | Tapware</t>
        </is>
      </c>
      <c r="F143" s="32" t="inlineStr">
        <is>
          <t>set</t>
        </is>
      </c>
      <c r="G143" s="32" t="n">
        <v>1</v>
      </c>
      <c r="H143" s="32" t="inlineStr">
        <is>
          <t>inferred</t>
        </is>
      </c>
      <c r="I143" s="32" t="inlineStr">
        <is>
          <t>room_template:toilet</t>
        </is>
      </c>
      <c r="J143" s="32" t="inlineStr">
        <is>
          <t>room_schedule: Toilet (type=toilet)</t>
        </is>
      </c>
      <c r="K143" s="32" t="inlineStr">
        <is>
          <t>room_template:toilet → Tapware (basin)</t>
        </is>
      </c>
      <c r="L143" s="32" t="inlineStr">
        <is>
          <t>MEDIUM</t>
        </is>
      </c>
    </row>
    <row r="144">
      <c r="A144" s="32" t="inlineStr">
        <is>
          <t>I14</t>
        </is>
      </c>
      <c r="B144" s="32" t="inlineStr">
        <is>
          <t>50117</t>
        </is>
      </c>
      <c r="C144" s="32" t="inlineStr">
        <is>
          <t>50117 - Services (Hydraulics — Partial)</t>
        </is>
      </c>
      <c r="D144" s="32" t="inlineStr">
        <is>
          <t>Mirror / Medicine Cabinet</t>
        </is>
      </c>
      <c r="E144" s="32" t="inlineStr">
        <is>
          <t>FFE | Mirror</t>
        </is>
      </c>
      <c r="F144" s="32" t="inlineStr">
        <is>
          <t>nr</t>
        </is>
      </c>
      <c r="G144" s="32" t="n">
        <v>1</v>
      </c>
      <c r="H144" s="32" t="inlineStr">
        <is>
          <t>inferred</t>
        </is>
      </c>
      <c r="I144" s="32" t="inlineStr">
        <is>
          <t>room_template:toilet</t>
        </is>
      </c>
      <c r="J144" s="32" t="inlineStr">
        <is>
          <t>room_schedule: Toilet (type=toilet)</t>
        </is>
      </c>
      <c r="K144" s="32" t="inlineStr">
        <is>
          <t>room_template:toilet → Mirror / Medicine Cabinet</t>
        </is>
      </c>
      <c r="L144" s="32" t="inlineStr">
        <is>
          <t>LOW</t>
        </is>
      </c>
    </row>
    <row r="145">
      <c r="A145" s="32" t="inlineStr">
        <is>
          <t>I15</t>
        </is>
      </c>
      <c r="B145" s="32" t="inlineStr">
        <is>
          <t>50117</t>
        </is>
      </c>
      <c r="C145" s="32" t="inlineStr">
        <is>
          <t>50117 - Services (Hydraulics — Partial)</t>
        </is>
      </c>
      <c r="D145" s="32" t="inlineStr">
        <is>
          <t>Toilet Roll Holder</t>
        </is>
      </c>
      <c r="E145" s="32" t="inlineStr">
        <is>
          <t>FFE | Toilet Roll Holder</t>
        </is>
      </c>
      <c r="F145" s="32" t="inlineStr">
        <is>
          <t>nr</t>
        </is>
      </c>
      <c r="G145" s="32" t="n">
        <v>1</v>
      </c>
      <c r="H145" s="32" t="inlineStr">
        <is>
          <t>inferred</t>
        </is>
      </c>
      <c r="I145" s="32" t="inlineStr">
        <is>
          <t>room_template:toilet</t>
        </is>
      </c>
      <c r="J145" s="32" t="inlineStr">
        <is>
          <t>room_schedule: Toilet (type=toilet)</t>
        </is>
      </c>
      <c r="K145" s="32" t="inlineStr">
        <is>
          <t>room_template:toilet → Toilet Roll Holder</t>
        </is>
      </c>
      <c r="L145" s="32" t="inlineStr">
        <is>
          <t>LOW</t>
        </is>
      </c>
    </row>
    <row r="146">
      <c r="A146" s="32" t="inlineStr">
        <is>
          <t>I16</t>
        </is>
      </c>
      <c r="B146" s="32" t="inlineStr">
        <is>
          <t>50117</t>
        </is>
      </c>
      <c r="C146" s="32" t="inlineStr">
        <is>
          <t>50117 - Services (Hydraulics — Partial)</t>
        </is>
      </c>
      <c r="D146" s="32" t="inlineStr">
        <is>
          <t>Hand Towel Rail / Dryer</t>
        </is>
      </c>
      <c r="E146" s="32" t="inlineStr">
        <is>
          <t>FFE | Towel Rail</t>
        </is>
      </c>
      <c r="F146" s="32" t="inlineStr">
        <is>
          <t>nr</t>
        </is>
      </c>
      <c r="G146" s="32" t="n">
        <v>1</v>
      </c>
      <c r="H146" s="32" t="inlineStr">
        <is>
          <t>inferred</t>
        </is>
      </c>
      <c r="I146" s="32" t="inlineStr">
        <is>
          <t>room_template:toilet</t>
        </is>
      </c>
      <c r="J146" s="32" t="inlineStr">
        <is>
          <t>room_schedule: Toilet (type=toilet)</t>
        </is>
      </c>
      <c r="K146" s="32" t="inlineStr">
        <is>
          <t>room_template:toilet → Hand Towel Rail / Dryer</t>
        </is>
      </c>
      <c r="L146" s="32" t="inlineStr">
        <is>
          <t>LOW</t>
        </is>
      </c>
    </row>
    <row r="147">
      <c r="A147" s="32" t="inlineStr">
        <is>
          <t>I17</t>
        </is>
      </c>
      <c r="B147" s="32" t="inlineStr">
        <is>
          <t>50117</t>
        </is>
      </c>
      <c r="C147" s="32" t="inlineStr">
        <is>
          <t>50117 - Services (Hydraulics — Partial)</t>
        </is>
      </c>
      <c r="D147" s="32" t="inlineStr">
        <is>
          <t>Floor Waste</t>
        </is>
      </c>
      <c r="E147" s="32" t="inlineStr">
        <is>
          <t>Hydraulics | Floor Waste</t>
        </is>
      </c>
      <c r="F147" s="32" t="inlineStr">
        <is>
          <t>nr</t>
        </is>
      </c>
      <c r="G147" s="32" t="n">
        <v>1</v>
      </c>
      <c r="H147" s="32" t="inlineStr">
        <is>
          <t>inferred</t>
        </is>
      </c>
      <c r="I147" s="32" t="inlineStr">
        <is>
          <t>room_template:toilet</t>
        </is>
      </c>
      <c r="J147" s="32" t="inlineStr">
        <is>
          <t>room_schedule: Toilet (type=toilet)</t>
        </is>
      </c>
      <c r="K147" s="32" t="inlineStr">
        <is>
          <t>room_template:toilet → Floor Waste</t>
        </is>
      </c>
      <c r="L147" s="32" t="inlineStr">
        <is>
          <t>MEDIUM</t>
        </is>
      </c>
    </row>
    <row r="148">
      <c r="A148" s="32" t="inlineStr">
        <is>
          <t>I18</t>
        </is>
      </c>
      <c r="B148" s="32" t="inlineStr">
        <is>
          <t>50117</t>
        </is>
      </c>
      <c r="C148" s="32" t="inlineStr">
        <is>
          <t>50117 - Services (Hydraulics — Partial)</t>
        </is>
      </c>
      <c r="D148" s="32" t="inlineStr">
        <is>
          <t>Builder's Works — Plumbing (toilet)</t>
        </is>
      </c>
      <c r="E148" s="32" t="inlineStr">
        <is>
          <t>Hydraulics | Builder's Works (Plumbing)</t>
        </is>
      </c>
      <c r="F148" s="32" t="inlineStr">
        <is>
          <t>item</t>
        </is>
      </c>
      <c r="G148" s="32" t="n">
        <v>1</v>
      </c>
      <c r="H148" s="32" t="inlineStr">
        <is>
          <t>inferred</t>
        </is>
      </c>
      <c r="I148" s="32" t="inlineStr">
        <is>
          <t>room_template:toilet</t>
        </is>
      </c>
      <c r="J148" s="32" t="inlineStr">
        <is>
          <t>room_schedule: Toilet (type=toilet)</t>
        </is>
      </c>
      <c r="K148" s="32" t="inlineStr">
        <is>
          <t>room_template:toilet → Builder's Works — Plumbing (toilet)</t>
        </is>
      </c>
      <c r="L148" s="32" t="inlineStr">
        <is>
          <t>MEDIUM</t>
        </is>
      </c>
    </row>
    <row r="149">
      <c r="A149" s="32" t="inlineStr">
        <is>
          <t>I19</t>
        </is>
      </c>
      <c r="B149" s="32" t="inlineStr">
        <is>
          <t>50117</t>
        </is>
      </c>
      <c r="C149" s="32" t="inlineStr">
        <is>
          <t>50117 - Services (Hydraulics — Partial)</t>
        </is>
      </c>
      <c r="D149" s="32" t="inlineStr">
        <is>
          <t>Wet Area Wall Tiling — Toilet</t>
        </is>
      </c>
      <c r="E149" s="32" t="inlineStr">
        <is>
          <t>Hydraulics | WC Pan</t>
        </is>
      </c>
      <c r="F149" s="32" t="inlineStr">
        <is>
          <t>m2</t>
        </is>
      </c>
      <c r="G149" s="32" t="n">
        <v>15.3</v>
      </c>
      <c r="H149" s="32" t="inlineStr">
        <is>
          <t>inferred</t>
        </is>
      </c>
      <c r="I149" s="32" t="inlineStr">
        <is>
          <t>perim_est(8.5m) × tile_height(1.8m)</t>
        </is>
      </c>
      <c r="J149" s="32" t="inlineStr">
        <is>
          <t>room: Toilet (area=4.50 m², wet_area=True)</t>
        </is>
      </c>
      <c r="K149" s="32" t="inlineStr">
        <is>
          <t>perim × 1.8m splash zone</t>
        </is>
      </c>
      <c r="L149" s="32" t="inlineStr">
        <is>
          <t>LOW</t>
        </is>
      </c>
    </row>
    <row r="150">
      <c r="A150" s="32" t="inlineStr">
        <is>
          <t>I20</t>
        </is>
      </c>
      <c r="B150" s="32" t="inlineStr">
        <is>
          <t>50117</t>
        </is>
      </c>
      <c r="C150" s="32" t="inlineStr">
        <is>
          <t>50117 - Services (Hydraulics — Partial)</t>
        </is>
      </c>
      <c r="D150" s="32" t="inlineStr">
        <is>
          <t>Wet Area Waterproofing — Membrane</t>
        </is>
      </c>
      <c r="E150" s="32" t="inlineStr">
        <is>
          <t>Hydraulics | Wet Area Waterproofing Membrane</t>
        </is>
      </c>
      <c r="F150" s="32" t="inlineStr">
        <is>
          <t>m2</t>
        </is>
      </c>
      <c r="G150" s="32" t="n">
        <v>5.78</v>
      </c>
      <c r="H150" s="32" t="inlineStr">
        <is>
          <t>inferred</t>
        </is>
      </c>
      <c r="I150" s="32" t="inlineStr">
        <is>
          <t>room_area(4.50) + perim(8.5)×upstand(0.15m)</t>
        </is>
      </c>
      <c r="J150" s="32" t="inlineStr">
        <is>
          <t>room: Toilet (area=4.50 m²)</t>
        </is>
      </c>
      <c r="K150" s="32" t="inlineStr">
        <is>
          <t>room_area(4.50) + perim(8.5)×upstand(0.15m)</t>
        </is>
      </c>
      <c r="L150" s="32" t="inlineStr">
        <is>
          <t>MEDIUM</t>
        </is>
      </c>
    </row>
    <row r="151">
      <c r="A151" s="32" t="inlineStr">
        <is>
          <t>I21</t>
        </is>
      </c>
      <c r="B151" s="32" t="inlineStr">
        <is>
          <t>50117</t>
        </is>
      </c>
      <c r="C151" s="32" t="inlineStr">
        <is>
          <t>50117 - Services (Hydraulics — Partial)</t>
        </is>
      </c>
      <c r="D151" s="32" t="inlineStr">
        <is>
          <t>Builder's Works — Services (unclassified room)</t>
        </is>
      </c>
      <c r="E151" s="32" t="inlineStr">
        <is>
          <t>Services | Builder's Works, Services</t>
        </is>
      </c>
      <c r="F151" s="32" t="inlineStr">
        <is>
          <t>item</t>
        </is>
      </c>
      <c r="G151" s="32" t="n">
        <v>1</v>
      </c>
      <c r="H151" s="32" t="inlineStr">
        <is>
          <t>inferred</t>
        </is>
      </c>
      <c r="I151" s="32" t="inlineStr">
        <is>
          <t>room_template:store</t>
        </is>
      </c>
      <c r="J151" s="32" t="inlineStr">
        <is>
          <t>room_schedule: Storage (type=store)</t>
        </is>
      </c>
      <c r="K151" s="32" t="inlineStr">
        <is>
          <t>room_template:store → Builder's Works — Services (unclassified room)</t>
        </is>
      </c>
      <c r="L151" s="32" t="inlineStr">
        <is>
          <t>LOW</t>
        </is>
      </c>
    </row>
    <row r="152">
      <c r="A152" s="32" t="inlineStr">
        <is>
          <t>I22</t>
        </is>
      </c>
      <c r="B152" s="32" t="inlineStr">
        <is>
          <t>50117</t>
        </is>
      </c>
      <c r="C152" s="32" t="inlineStr">
        <is>
          <t>50117 - Services (Hydraulics — Partial)</t>
        </is>
      </c>
      <c r="D152" s="32" t="inlineStr">
        <is>
          <t>Air Conditioning / Mechanical Ventilation — PLACEHOLDER</t>
        </is>
      </c>
      <c r="E152" s="32" t="inlineStr">
        <is>
          <t>Services | Air Conditioning / Mechanical (PLACEHOLDER)</t>
        </is>
      </c>
      <c r="F152" s="32" t="inlineStr">
        <is>
          <t>item</t>
        </is>
      </c>
      <c r="G152" s="32" t="n">
        <v>0</v>
      </c>
      <c r="H152" s="32" t="inlineStr">
        <is>
          <t>placeholder</t>
        </is>
      </c>
      <c r="I152" s="32" t="inlineStr">
        <is>
          <t>no mechanical schedule in source documents</t>
        </is>
      </c>
      <c r="J152" s="32" t="inlineStr">
        <is>
          <t>building_type=pharmacy: commercial building requires mechanical services</t>
        </is>
      </c>
      <c r="K152" s="32" t="inlineStr">
        <is>
          <t>manual review required</t>
        </is>
      </c>
      <c r="L152" s="32" t="inlineStr">
        <is>
          <t>LOW</t>
        </is>
      </c>
    </row>
    <row r="153">
      <c r="A153" s="32" t="inlineStr">
        <is>
          <t>I23</t>
        </is>
      </c>
      <c r="B153" s="32" t="inlineStr">
        <is>
          <t>50117</t>
        </is>
      </c>
      <c r="C153" s="32" t="inlineStr">
        <is>
          <t>50117 - Services (Hydraulics — Partial)</t>
        </is>
      </c>
      <c r="D153" s="32" t="inlineStr">
        <is>
          <t>Exhaust Fan — Wet Area (toilet / laundry)</t>
        </is>
      </c>
      <c r="E153" s="32" t="inlineStr">
        <is>
          <t>Electrical | Exhaust Fan</t>
        </is>
      </c>
      <c r="F153" s="32" t="inlineStr">
        <is>
          <t>item</t>
        </is>
      </c>
      <c r="G153" s="32" t="n">
        <v>0</v>
      </c>
      <c r="H153" s="32" t="inlineStr">
        <is>
          <t>placeholder</t>
        </is>
      </c>
      <c r="I153" s="32" t="inlineStr">
        <is>
          <t>no mechanical schedule — wet area rooms require exhaust ventilation</t>
        </is>
      </c>
      <c r="J153" s="32" t="inlineStr">
        <is>
          <t>building_type=pharmacy: wet area ventilation required by BCA F4.6</t>
        </is>
      </c>
      <c r="K153" s="32" t="inlineStr">
        <is>
          <t>manual review required</t>
        </is>
      </c>
      <c r="L153" s="32" t="inlineStr">
        <is>
          <t>LOW</t>
        </is>
      </c>
    </row>
    <row r="154">
      <c r="A154" s="32" t="inlineStr">
        <is>
          <t>I24</t>
        </is>
      </c>
      <c r="B154" s="32" t="inlineStr">
        <is>
          <t>50117</t>
        </is>
      </c>
      <c r="C154" s="32" t="inlineStr">
        <is>
          <t>50117 - Services (Hydraulics — Partial)</t>
        </is>
      </c>
      <c r="D154" s="32" t="inlineStr">
        <is>
          <t>Main Electrical Switchboard / Distribution Board</t>
        </is>
      </c>
      <c r="E154" s="32" t="inlineStr">
        <is>
          <t>Electrical | Main Switchboard / Distribution Board</t>
        </is>
      </c>
      <c r="F154" s="32" t="inlineStr">
        <is>
          <t>item</t>
        </is>
      </c>
      <c r="G154" s="32" t="n">
        <v>1</v>
      </c>
      <c r="H154" s="32" t="inlineStr">
        <is>
          <t>inferred</t>
        </is>
      </c>
      <c r="I154" s="32" t="inlineStr">
        <is>
          <t>whole_building_services template</t>
        </is>
      </c>
      <c r="J154" s="32" t="inlineStr">
        <is>
          <t>floor_area=86.40 m² (building-wide)</t>
        </is>
      </c>
      <c r="K154" s="32">
        <f> 1 per building</f>
        <v/>
      </c>
      <c r="L154" s="32" t="inlineStr">
        <is>
          <t>LOW</t>
        </is>
      </c>
    </row>
    <row r="155">
      <c r="A155" s="32" t="inlineStr">
        <is>
          <t>I25</t>
        </is>
      </c>
      <c r="B155" s="32" t="inlineStr">
        <is>
          <t>50117</t>
        </is>
      </c>
      <c r="C155" s="32" t="inlineStr">
        <is>
          <t>50117 - Services (Hydraulics — Partial)</t>
        </is>
      </c>
      <c r="D155" s="32" t="inlineStr">
        <is>
          <t>Main Water Meter / Stopcock</t>
        </is>
      </c>
      <c r="E155" s="32" t="inlineStr">
        <is>
          <t>Hydraulics | Main Water Meter / Stopcock</t>
        </is>
      </c>
      <c r="F155" s="32" t="inlineStr">
        <is>
          <t>item</t>
        </is>
      </c>
      <c r="G155" s="32" t="n">
        <v>1</v>
      </c>
      <c r="H155" s="32" t="inlineStr">
        <is>
          <t>inferred</t>
        </is>
      </c>
      <c r="I155" s="32" t="inlineStr">
        <is>
          <t>whole_building_services template</t>
        </is>
      </c>
      <c r="J155" s="32" t="inlineStr">
        <is>
          <t>floor_area=86.40 m² (building-wide)</t>
        </is>
      </c>
      <c r="K155" s="32">
        <f> 1 per building</f>
        <v/>
      </c>
      <c r="L155" s="32" t="inlineStr">
        <is>
          <t>LOW</t>
        </is>
      </c>
    </row>
    <row r="156">
      <c r="A156" s="32" t="inlineStr">
        <is>
          <t>I26</t>
        </is>
      </c>
      <c r="B156" s="32" t="inlineStr">
        <is>
          <t>50117</t>
        </is>
      </c>
      <c r="C156" s="32" t="inlineStr">
        <is>
          <t>50117 - Services (Hydraulics — Partial)</t>
        </is>
      </c>
      <c r="D156" s="32" t="inlineStr">
        <is>
          <t>Hot Water System (central)</t>
        </is>
      </c>
      <c r="E156" s="32" t="inlineStr">
        <is>
          <t>Hydraulics | Hot Water System</t>
        </is>
      </c>
      <c r="F156" s="32" t="inlineStr">
        <is>
          <t>item</t>
        </is>
      </c>
      <c r="G156" s="32" t="n">
        <v>1</v>
      </c>
      <c r="H156" s="32" t="inlineStr">
        <is>
          <t>inferred</t>
        </is>
      </c>
      <c r="I156" s="32" t="inlineStr">
        <is>
          <t>whole_building_services template</t>
        </is>
      </c>
      <c r="J156" s="32" t="inlineStr">
        <is>
          <t>floor_area=86.40 m² (building-wide)</t>
        </is>
      </c>
      <c r="K156" s="32">
        <f> 1 per building</f>
        <v/>
      </c>
      <c r="L156" s="32" t="inlineStr">
        <is>
          <t>LOW</t>
        </is>
      </c>
    </row>
    <row r="157">
      <c r="A157" s="32" t="inlineStr">
        <is>
          <t>I27</t>
        </is>
      </c>
      <c r="B157" s="32" t="inlineStr">
        <is>
          <t>50117</t>
        </is>
      </c>
      <c r="C157" s="32" t="inlineStr">
        <is>
          <t>50117 - Services (Hydraulics — Partial)</t>
        </is>
      </c>
      <c r="D157" s="32" t="inlineStr">
        <is>
          <t>Smoke Detectors (provisional)</t>
        </is>
      </c>
      <c r="E157" s="32" t="inlineStr">
        <is>
          <t>Electrical | Smoke Detector</t>
        </is>
      </c>
      <c r="F157" s="32" t="inlineStr">
        <is>
          <t>nr</t>
        </is>
      </c>
      <c r="G157" s="32" t="n">
        <v>3</v>
      </c>
      <c r="H157" s="32" t="inlineStr">
        <is>
          <t>inferred</t>
        </is>
      </c>
      <c r="I157" s="32" t="inlineStr">
        <is>
          <t>whole_building_services template</t>
        </is>
      </c>
      <c r="J157" s="32" t="inlineStr">
        <is>
          <t>floor_area=86.40 m² (building-wide)</t>
        </is>
      </c>
      <c r="K157" s="32" t="inlineStr">
        <is>
          <t>ceil(floor_area / 40)</t>
        </is>
      </c>
      <c r="L157" s="32" t="inlineStr">
        <is>
          <t>LOW</t>
        </is>
      </c>
    </row>
    <row r="158">
      <c r="A158" s="32" t="inlineStr">
        <is>
          <t>C01</t>
        </is>
      </c>
      <c r="B158" s="32" t="inlineStr">
        <is>
          <t>50118</t>
        </is>
      </c>
      <c r="C158" s="32" t="inlineStr">
        <is>
          <t>50118 - Insulation</t>
        </is>
      </c>
      <c r="D158" s="32" t="inlineStr">
        <is>
          <t>Insulation Batts — Roof / Ceiling</t>
        </is>
      </c>
      <c r="E158" s="32" t="inlineStr">
        <is>
          <t>Insulation | Glasswool Batts, Roof / Ceiling</t>
        </is>
      </c>
      <c r="F158" s="32" t="inlineStr">
        <is>
          <t>m2</t>
        </is>
      </c>
      <c r="G158" s="32" t="n">
        <v>106.6</v>
      </c>
      <c r="H158" s="32" t="inlineStr">
        <is>
          <t>calculated</t>
        </is>
      </c>
      <c r="I158" s="32">
        <f> roof_area_m2 (batts cover full roof area)</f>
        <v/>
      </c>
      <c r="J158" s="32" t="inlineStr">
        <is>
          <t>dxf_geometry: roof_area=106.60 m²</t>
        </is>
      </c>
      <c r="K158" s="32">
        <f> roof_area</f>
        <v/>
      </c>
      <c r="L158" s="32" t="inlineStr">
        <is>
          <t>HIGH</t>
        </is>
      </c>
    </row>
    <row r="159">
      <c r="A159" s="32" t="inlineStr">
        <is>
          <t>C02</t>
        </is>
      </c>
      <c r="B159" s="32" t="inlineStr">
        <is>
          <t>50118</t>
        </is>
      </c>
      <c r="C159" s="32" t="inlineStr">
        <is>
          <t>50118 - Insulation</t>
        </is>
      </c>
      <c r="D159" s="32" t="inlineStr">
        <is>
          <t>Insulation Batts — External Wall</t>
        </is>
      </c>
      <c r="E159" s="32" t="inlineStr">
        <is>
          <t>Insulation | Glasswool Batts, External Wall</t>
        </is>
      </c>
      <c r="F159" s="32" t="inlineStr">
        <is>
          <t>m2</t>
        </is>
      </c>
      <c r="G159" s="32" t="n">
        <v>92.16</v>
      </c>
      <c r="H159" s="32" t="inlineStr">
        <is>
          <t>calculated</t>
        </is>
      </c>
      <c r="I159" s="32" t="inlineStr">
        <is>
          <t>ext_wall_perimeter × wall_height</t>
        </is>
      </c>
      <c r="J159" s="32" t="inlineStr">
        <is>
          <t>dxf_geometry: ext_wall_lm=38.40 × h=2.4</t>
        </is>
      </c>
      <c r="K159" s="32" t="inlineStr">
        <is>
          <t>38.40 × 2.4</t>
        </is>
      </c>
      <c r="L159" s="32" t="inlineStr">
        <is>
          <t>MEDIUM</t>
        </is>
      </c>
    </row>
    <row r="160">
      <c r="A160" s="32" t="inlineStr">
        <is>
          <t>J01</t>
        </is>
      </c>
      <c r="B160" s="32" t="inlineStr">
        <is>
          <t>50124</t>
        </is>
      </c>
      <c r="C160" s="32" t="inlineStr">
        <is>
          <t>50124 - Stairs &amp; Balustrades</t>
        </is>
      </c>
      <c r="D160" s="32" t="inlineStr">
        <is>
          <t>Stair Stringer (Prefabricated Set) — 3 RISER</t>
        </is>
      </c>
      <c r="E160" s="32" t="inlineStr">
        <is>
          <t>Stair | Stringer</t>
        </is>
      </c>
      <c r="F160" s="32" t="inlineStr">
        <is>
          <t>nr</t>
        </is>
      </c>
      <c r="G160" s="32" t="n">
        <v>1</v>
      </c>
      <c r="H160" s="32" t="inlineStr">
        <is>
          <t>inferred</t>
        </is>
      </c>
      <c r="I160" s="32" t="inlineStr">
        <is>
          <t>project_config: stair evidence</t>
        </is>
      </c>
      <c r="J160" s="32" t="inlineStr">
        <is>
          <t>project_config: STR-1</t>
        </is>
      </c>
      <c r="K160" s="32" t="inlineStr">
        <is>
          <t>DXF stair layer</t>
        </is>
      </c>
      <c r="L160" s="32" t="inlineStr">
        <is>
          <t>LOW</t>
        </is>
      </c>
    </row>
    <row r="161">
      <c r="A161" s="32" t="inlineStr">
        <is>
          <t>J02</t>
        </is>
      </c>
      <c r="B161" s="32" t="inlineStr">
        <is>
          <t>50124</t>
        </is>
      </c>
      <c r="C161" s="32" t="inlineStr">
        <is>
          <t>50124 - Stairs &amp; Balustrades</t>
        </is>
      </c>
      <c r="D161" s="32" t="inlineStr">
        <is>
          <t>Stair Tread</t>
        </is>
      </c>
      <c r="E161" s="32" t="inlineStr">
        <is>
          <t>Stair | Tread</t>
        </is>
      </c>
      <c r="F161" s="32" t="inlineStr">
        <is>
          <t>nr</t>
        </is>
      </c>
      <c r="G161" s="32" t="n">
        <v>3</v>
      </c>
      <c r="H161" s="32" t="inlineStr">
        <is>
          <t>inferred</t>
        </is>
      </c>
      <c r="I161" s="32" t="inlineStr">
        <is>
          <t>flights × risers_per_flight = 1 × 3</t>
        </is>
      </c>
      <c r="J161" s="32" t="inlineStr">
        <is>
          <t>project_config: risers_per_flight=3</t>
        </is>
      </c>
      <c r="K161" s="32" t="inlineStr">
        <is>
          <t>1 × 3</t>
        </is>
      </c>
      <c r="L161" s="32" t="inlineStr">
        <is>
          <t>LOW</t>
        </is>
      </c>
    </row>
    <row r="162">
      <c r="A162" s="32" t="inlineStr">
        <is>
          <t>J03</t>
        </is>
      </c>
      <c r="B162" s="32" t="inlineStr">
        <is>
          <t>50124</t>
        </is>
      </c>
      <c r="C162" s="32" t="inlineStr">
        <is>
          <t>50124 - Stairs &amp; Balustrades</t>
        </is>
      </c>
      <c r="D162" s="32" t="inlineStr">
        <is>
          <t>Stair Newel Post</t>
        </is>
      </c>
      <c r="E162" s="32" t="inlineStr">
        <is>
          <t>Stair | Component</t>
        </is>
      </c>
      <c r="F162" s="32" t="inlineStr">
        <is>
          <t>nr</t>
        </is>
      </c>
      <c r="G162" s="32" t="n">
        <v>2</v>
      </c>
      <c r="H162" s="32" t="inlineStr">
        <is>
          <t>calculated</t>
        </is>
      </c>
      <c r="I162" s="32" t="inlineStr">
        <is>
          <t>flights × 2 newel posts = 1 × 2</t>
        </is>
      </c>
      <c r="J162" s="32" t="inlineStr">
        <is>
          <t>project_config: STR-1</t>
        </is>
      </c>
      <c r="K162" s="32" t="inlineStr">
        <is>
          <t>1 × 2</t>
        </is>
      </c>
      <c r="L162" s="32" t="inlineStr">
        <is>
          <t>MEDIUM</t>
        </is>
      </c>
    </row>
    <row r="163">
      <c r="A163" s="32" t="inlineStr">
        <is>
          <t>J04</t>
        </is>
      </c>
      <c r="B163" s="32" t="inlineStr">
        <is>
          <t>50124</t>
        </is>
      </c>
      <c r="C163" s="32" t="inlineStr">
        <is>
          <t>50124 - Stairs &amp; Balustrades</t>
        </is>
      </c>
      <c r="D163" s="32" t="inlineStr">
        <is>
          <t>Stair Balustrade — Top Rail</t>
        </is>
      </c>
      <c r="E163" s="32" t="inlineStr">
        <is>
          <t>Balustrade | Assembly</t>
        </is>
      </c>
      <c r="F163" s="32" t="inlineStr">
        <is>
          <t>lm</t>
        </is>
      </c>
      <c r="G163" s="32" t="n">
        <v>0.75</v>
      </c>
      <c r="H163" s="32" t="inlineStr">
        <is>
          <t>calculated</t>
        </is>
      </c>
      <c r="I163" s="32">
        <f> stair_run_estimate</f>
        <v/>
      </c>
      <c r="J163" s="32" t="inlineStr">
        <is>
          <t>project_config: STR-1</t>
        </is>
      </c>
      <c r="K163" s="32" t="inlineStr">
        <is>
          <t>run_est=0.75 m</t>
        </is>
      </c>
      <c r="L163" s="32" t="inlineStr">
        <is>
          <t>LOW</t>
        </is>
      </c>
    </row>
    <row r="164">
      <c r="A164" s="32" t="inlineStr">
        <is>
          <t>J05</t>
        </is>
      </c>
      <c r="B164" s="32" t="inlineStr">
        <is>
          <t>50124</t>
        </is>
      </c>
      <c r="C164" s="32" t="inlineStr">
        <is>
          <t>50124 - Stairs &amp; Balustrades</t>
        </is>
      </c>
      <c r="D164" s="32" t="inlineStr">
        <is>
          <t>Stair Balustrade Post</t>
        </is>
      </c>
      <c r="E164" s="32" t="inlineStr">
        <is>
          <t>Balustrade | Post</t>
        </is>
      </c>
      <c r="F164" s="32" t="inlineStr">
        <is>
          <t>nr</t>
        </is>
      </c>
      <c r="G164" s="32" t="n">
        <v>1</v>
      </c>
      <c r="H164" s="32" t="inlineStr">
        <is>
          <t>calculated</t>
        </is>
      </c>
      <c r="I164" s="32" t="inlineStr">
        <is>
          <t>ceil(balustrade_lm / 1.2 m) = ceil(0.75/1.2)</t>
        </is>
      </c>
      <c r="J164" s="32" t="inlineStr">
        <is>
          <t>project_config: balustrade_lm=0.75 m</t>
        </is>
      </c>
      <c r="K164" s="32" t="inlineStr">
        <is>
          <t>ceil(lm / 1.2)</t>
        </is>
      </c>
      <c r="L164" s="32" t="inlineStr">
        <is>
          <t>LOW</t>
        </is>
      </c>
    </row>
    <row r="165">
      <c r="A165" s="32" t="inlineStr">
        <is>
          <t>J06</t>
        </is>
      </c>
      <c r="B165" s="32" t="inlineStr">
        <is>
          <t>50124</t>
        </is>
      </c>
      <c r="C165" s="32" t="inlineStr">
        <is>
          <t>50124 - Stairs &amp; Balustrades</t>
        </is>
      </c>
      <c r="D165" s="32" t="inlineStr">
        <is>
          <t>Stair Balustrade Infill (glass / mesh / picket)</t>
        </is>
      </c>
      <c r="E165" s="32" t="inlineStr">
        <is>
          <t>Balustrade | Assembly</t>
        </is>
      </c>
      <c r="F165" s="32" t="inlineStr">
        <is>
          <t>m2</t>
        </is>
      </c>
      <c r="G165" s="32" t="n">
        <v>0.75</v>
      </c>
      <c r="H165" s="32" t="inlineStr">
        <is>
          <t>inferred</t>
        </is>
      </c>
      <c r="I165" s="32" t="inlineStr">
        <is>
          <t>balustrade_lm × 1.0 m height = 0.75 × 1.0</t>
        </is>
      </c>
      <c r="J165" s="32" t="inlineStr">
        <is>
          <t>project_config: balustrade_lm=0.75 m</t>
        </is>
      </c>
      <c r="K165" s="32" t="inlineStr">
        <is>
          <t>lm × 1.0 m infill height</t>
        </is>
      </c>
      <c r="L165" s="32" t="inlineStr">
        <is>
          <t>LOW</t>
        </is>
      </c>
    </row>
    <row r="166">
      <c r="A166" s="32" t="inlineStr">
        <is>
          <t>J07</t>
        </is>
      </c>
      <c r="B166" s="32" t="inlineStr">
        <is>
          <t>50124</t>
        </is>
      </c>
      <c r="C166" s="32" t="inlineStr">
        <is>
          <t>50124 - Stairs &amp; Balustrades</t>
        </is>
      </c>
      <c r="D166" s="32" t="inlineStr">
        <is>
          <t>Stair Handrail</t>
        </is>
      </c>
      <c r="E166" s="32" t="inlineStr">
        <is>
          <t>Balustrade | Handrail</t>
        </is>
      </c>
      <c r="F166" s="32" t="inlineStr">
        <is>
          <t>lm</t>
        </is>
      </c>
      <c r="G166" s="32" t="n">
        <v>0.75</v>
      </c>
      <c r="H166" s="32" t="inlineStr">
        <is>
          <t>calculated</t>
        </is>
      </c>
      <c r="I166" s="32">
        <f> stair_run_estimate</f>
        <v/>
      </c>
      <c r="J166" s="32" t="inlineStr">
        <is>
          <t>project_config: STR-1</t>
        </is>
      </c>
      <c r="K166" s="32" t="inlineStr">
        <is>
          <t>run_est=0.75 m</t>
        </is>
      </c>
      <c r="L166" s="32" t="inlineStr">
        <is>
          <t>LOW</t>
        </is>
      </c>
    </row>
    <row r="167">
      <c r="A167" s="32" t="inlineStr">
        <is>
          <t>J08</t>
        </is>
      </c>
      <c r="B167" s="32" t="inlineStr">
        <is>
          <t>50124</t>
        </is>
      </c>
      <c r="C167" s="32" t="inlineStr">
        <is>
          <t>50124 - Stairs &amp; Balustrades</t>
        </is>
      </c>
      <c r="D167" s="32" t="inlineStr">
        <is>
          <t>Access Ramp — Surface (concrete / non-slip)</t>
        </is>
      </c>
      <c r="E167" s="32" t="inlineStr">
        <is>
          <t>Access Ramp | Surface, Concrete / Non-slip</t>
        </is>
      </c>
      <c r="F167" s="32" t="inlineStr">
        <is>
          <t>m2</t>
        </is>
      </c>
      <c r="G167" s="32" t="n">
        <v>8.82</v>
      </c>
      <c r="H167" s="32" t="inlineStr">
        <is>
          <t>inferred</t>
        </is>
      </c>
      <c r="I167" s="32" t="inlineStr">
        <is>
          <t>1:14 gradient × 525mm entry height × 1.2m wide [stair: 3 risers × 175 mm = 525 mm]</t>
        </is>
      </c>
      <c r="J167" s="32" t="inlineStr">
        <is>
          <t>derived from project_config: stair: 3 risers × 175 mm = 525 mm</t>
        </is>
      </c>
      <c r="K167" s="32" t="inlineStr">
        <is>
          <t>7.35 m run × 1.2 m wide</t>
        </is>
      </c>
      <c r="L167" s="32" t="inlineStr">
        <is>
          <t>LOW</t>
        </is>
      </c>
    </row>
    <row r="168">
      <c r="A168" s="32" t="inlineStr">
        <is>
          <t>J09</t>
        </is>
      </c>
      <c r="B168" s="32" t="inlineStr">
        <is>
          <t>50124</t>
        </is>
      </c>
      <c r="C168" s="32" t="inlineStr">
        <is>
          <t>50124 - Stairs &amp; Balustrades</t>
        </is>
      </c>
      <c r="D168" s="32" t="inlineStr">
        <is>
          <t>Access Ramp — Handrail (both sides)</t>
        </is>
      </c>
      <c r="E168" s="32" t="inlineStr">
        <is>
          <t>Access Ramp | (type by design)</t>
        </is>
      </c>
      <c r="F168" s="32" t="inlineStr">
        <is>
          <t>lm</t>
        </is>
      </c>
      <c r="G168" s="32" t="n">
        <v>14.7</v>
      </c>
      <c r="H168" s="32" t="inlineStr">
        <is>
          <t>inferred</t>
        </is>
      </c>
      <c r="I168" s="32" t="inlineStr">
        <is>
          <t>ramp_run × 2 sides = 7.35 × 2</t>
        </is>
      </c>
      <c r="J168" s="32" t="inlineStr">
        <is>
          <t>derived from ramp run: 7.35 m (stair: 3 risers × 175 mm = 525 mm)</t>
        </is>
      </c>
      <c r="K168" s="32" t="inlineStr">
        <is>
          <t>7.35 × 2</t>
        </is>
      </c>
      <c r="L168" s="32" t="inlineStr">
        <is>
          <t>LOW</t>
        </is>
      </c>
    </row>
    <row r="169">
      <c r="A169" s="32" t="inlineStr">
        <is>
          <t>J10</t>
        </is>
      </c>
      <c r="B169" s="32" t="inlineStr">
        <is>
          <t>50124</t>
        </is>
      </c>
      <c r="C169" s="32" t="inlineStr">
        <is>
          <t>50124 - Stairs &amp; Balustrades</t>
        </is>
      </c>
      <c r="D169" s="32" t="inlineStr">
        <is>
          <t>Access Ramp — Edge Kerb / Guard</t>
        </is>
      </c>
      <c r="E169" s="32" t="inlineStr">
        <is>
          <t>Access Ramp | Edge Kerb / Guard</t>
        </is>
      </c>
      <c r="F169" s="32" t="inlineStr">
        <is>
          <t>lm</t>
        </is>
      </c>
      <c r="G169" s="32" t="n">
        <v>14.7</v>
      </c>
      <c r="H169" s="32" t="inlineStr">
        <is>
          <t>inferred</t>
        </is>
      </c>
      <c r="I169" s="32" t="inlineStr">
        <is>
          <t>ramp_run × 2 sides = 7.35 × 2</t>
        </is>
      </c>
      <c r="J169" s="32" t="inlineStr">
        <is>
          <t>derived from ramp run: 7.35 m (stair: 3 risers × 175 mm = 525 mm)</t>
        </is>
      </c>
      <c r="K169" s="32" t="inlineStr">
        <is>
          <t>7.35 × 2</t>
        </is>
      </c>
      <c r="L169" s="32" t="inlineStr">
        <is>
          <t>LOW</t>
        </is>
      </c>
    </row>
    <row r="170">
      <c r="A170" s="32" t="inlineStr">
        <is>
          <t>K01</t>
        </is>
      </c>
      <c r="B170" s="32" t="inlineStr">
        <is>
          <t>50124</t>
        </is>
      </c>
      <c r="C170" s="32" t="inlineStr">
        <is>
          <t>50124 - Stairs &amp; Balustrades</t>
        </is>
      </c>
      <c r="D170" s="32" t="inlineStr">
        <is>
          <t>Verandah Balustrade</t>
        </is>
      </c>
      <c r="E170" s="32" t="inlineStr">
        <is>
          <t>Balustrade | Assembly</t>
        </is>
      </c>
      <c r="F170" s="32" t="inlineStr">
        <is>
          <t>lm</t>
        </is>
      </c>
      <c r="G170" s="32" t="n">
        <v>20.4</v>
      </c>
      <c r="H170" s="32" t="inlineStr">
        <is>
          <t>measured</t>
        </is>
      </c>
      <c r="I170" s="32" t="inlineStr">
        <is>
          <t>DXF VERANDAH perimeter</t>
        </is>
      </c>
      <c r="J170" s="32" t="inlineStr">
        <is>
          <t>dxf_geometry: verandah_perimeter=20.40 m</t>
        </is>
      </c>
      <c r="K170" s="32">
        <f> verandah_perimeter_m</f>
        <v/>
      </c>
      <c r="L170" s="32" t="inlineStr">
        <is>
          <t>HIGH</t>
        </is>
      </c>
    </row>
    <row r="171">
      <c r="A171" s="32" t="inlineStr">
        <is>
          <t>K02</t>
        </is>
      </c>
      <c r="B171" s="32" t="inlineStr">
        <is>
          <t>50124</t>
        </is>
      </c>
      <c r="C171" s="32" t="inlineStr">
        <is>
          <t>50124 - Stairs &amp; Balustrades</t>
        </is>
      </c>
      <c r="D171" s="32" t="inlineStr">
        <is>
          <t>Verandah Handrail</t>
        </is>
      </c>
      <c r="E171" s="32" t="inlineStr">
        <is>
          <t>Balustrade | Handrail</t>
        </is>
      </c>
      <c r="F171" s="32" t="inlineStr">
        <is>
          <t>lm</t>
        </is>
      </c>
      <c r="G171" s="32" t="n">
        <v>20.4</v>
      </c>
      <c r="H171" s="32" t="inlineStr">
        <is>
          <t>calculated</t>
        </is>
      </c>
      <c r="I171" s="32">
        <f> verandah_perimeter (full open edge)</f>
        <v/>
      </c>
      <c r="J171" s="32" t="inlineStr">
        <is>
          <t>dxf_geometry: verandah_perimeter=20.40 m</t>
        </is>
      </c>
      <c r="K171" s="32">
        <f> verandah_perimeter</f>
        <v/>
      </c>
      <c r="L171" s="32" t="inlineStr">
        <is>
          <t>MEDIUM</t>
        </is>
      </c>
    </row>
    <row r="172">
      <c r="A172" s="32" t="inlineStr">
        <is>
          <t>K03</t>
        </is>
      </c>
      <c r="B172" s="32" t="inlineStr">
        <is>
          <t>50124</t>
        </is>
      </c>
      <c r="C172" s="32" t="inlineStr">
        <is>
          <t>50124 - Stairs &amp; Balustrades</t>
        </is>
      </c>
      <c r="D172" s="32" t="inlineStr">
        <is>
          <t>Balustrade Post</t>
        </is>
      </c>
      <c r="E172" s="32" t="inlineStr">
        <is>
          <t>Balustrade | Post</t>
        </is>
      </c>
      <c r="F172" s="32" t="inlineStr">
        <is>
          <t>nr</t>
        </is>
      </c>
      <c r="G172" s="32" t="n">
        <v>17</v>
      </c>
      <c r="H172" s="32" t="inlineStr">
        <is>
          <t>calculated</t>
        </is>
      </c>
      <c r="I172" s="32" t="inlineStr">
        <is>
          <t>ceil(verandah_perimeter / 1.2 m)</t>
        </is>
      </c>
      <c r="J172" s="32" t="inlineStr">
        <is>
          <t>derived from verandah_perimeter=20.40 m</t>
        </is>
      </c>
      <c r="K172" s="32" t="inlineStr">
        <is>
          <t>ceil(perimeter / 1.2)</t>
        </is>
      </c>
      <c r="L172" s="3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8" customWidth="1" min="3" max="3"/>
    <col width="6" customWidth="1" min="4" max="4"/>
    <col width="10" customWidth="1" min="5" max="5"/>
    <col width="10" customWidth="1" min="6" max="6"/>
    <col width="12" customWidth="1" min="7" max="7"/>
    <col width="60" customWidth="1" min="8" max="8"/>
  </cols>
  <sheetData>
    <row r="1">
      <c r="A1" s="2" t="inlineStr">
        <is>
          <t>Item No</t>
        </is>
      </c>
      <c r="B1" s="2" t="inlineStr">
        <is>
          <t>Package Code</t>
        </is>
      </c>
      <c r="C1" s="2" t="inlineStr">
        <is>
          <t>Item Display Name</t>
        </is>
      </c>
      <c r="D1" s="2" t="inlineStr">
        <is>
          <t>Unit</t>
        </is>
      </c>
      <c r="E1" s="2" t="inlineStr">
        <is>
          <t>Qty</t>
        </is>
      </c>
      <c r="F1" s="2" t="inlineStr">
        <is>
          <t>Confidence</t>
        </is>
      </c>
      <c r="G1" s="2" t="inlineStr">
        <is>
          <t>Status</t>
        </is>
      </c>
      <c r="H1" s="2" t="inlineStr">
        <is>
          <t>Notes / Action Required</t>
        </is>
      </c>
    </row>
    <row r="2">
      <c r="A2" s="33" t="inlineStr">
        <is>
          <t>G01</t>
        </is>
      </c>
      <c r="B2" s="33" t="inlineStr">
        <is>
          <t>50107</t>
        </is>
      </c>
      <c r="C2" s="33" t="inlineStr">
        <is>
          <t>Floor Cassette Panel — 3000mm × 2394mm</t>
        </is>
      </c>
      <c r="D2" s="33" t="inlineStr">
        <is>
          <t>nr</t>
        </is>
      </c>
      <c r="E2" s="33" t="n">
        <v>9</v>
      </c>
      <c r="F2" s="33" t="inlineStr">
        <is>
          <t>MEDIUM</t>
        </is>
      </c>
      <c r="G2" s="33" t="inlineStr">
        <is>
          <t>inferred</t>
        </is>
      </c>
      <c r="H2" s="33" t="inlineStr">
        <is>
          <t>MANUAL REVIEW REQUIRED. Panel count derived from floor area / per-panel area (7.182m²). Panel width=3000mm (from E1/E2 edge beam length, HIGH confidence). Panel depth=2394mm (from J1/S1/S2 span length, HIGH confidence). Count=9 is MEDIUM confidence — verify from FrameCAD floor panel layout.</t>
        </is>
      </c>
    </row>
    <row r="3">
      <c r="A3" s="33" t="inlineStr">
        <is>
          <t>G02</t>
        </is>
      </c>
      <c r="B3" s="33" t="inlineStr">
        <is>
          <t>50107</t>
        </is>
      </c>
      <c r="C3" s="33" t="inlineStr">
        <is>
          <t>Floor Joist (J1) — 150S41-095-500 × 2394mm</t>
        </is>
      </c>
      <c r="D3" s="33" t="inlineStr">
        <is>
          <t>nr</t>
        </is>
      </c>
      <c r="E3" s="33" t="n">
        <v>63</v>
      </c>
      <c r="F3" s="33" t="inlineStr">
        <is>
          <t>MEDIUM</t>
        </is>
      </c>
      <c r="G3" s="33" t="inlineStr">
        <is>
          <t>inferred</t>
        </is>
      </c>
      <c r="H3" s="33" t="inlineStr">
        <is>
          <t>MANUAL REVIEW REQUIRED. Profile: 150S41-095-500, length: 2394mm. 7 joists per panel (HIGH confidence — DWG Onpage FLayout schedule). Total 63 nr = 7 × 9 panels. Total lm: 150.82 lm (63 × 2.394m).</t>
        </is>
      </c>
    </row>
    <row r="4">
      <c r="A4" s="33" t="inlineStr">
        <is>
          <t>G04</t>
        </is>
      </c>
      <c r="B4" s="33" t="inlineStr">
        <is>
          <t>50107</t>
        </is>
      </c>
      <c r="C4" s="33" t="inlineStr">
        <is>
          <t>Floor Edge Beam (E1+E2) — 150P41-115-500 × 3000mm</t>
        </is>
      </c>
      <c r="D4" s="33" t="inlineStr">
        <is>
          <t>nr</t>
        </is>
      </c>
      <c r="E4" s="33" t="n">
        <v>18</v>
      </c>
      <c r="F4" s="33" t="inlineStr">
        <is>
          <t>MEDIUM</t>
        </is>
      </c>
      <c r="G4" s="33" t="inlineStr">
        <is>
          <t>inferred</t>
        </is>
      </c>
      <c r="H4" s="33" t="inlineStr">
        <is>
          <t>MANUAL REVIEW REQUIRED. Profile: 150P41-115-500, length: 3000mm. 2 edge beams per panel (E1×1 + E2×1). Total 18 nr. Total lm: 54.00 lm.</t>
        </is>
      </c>
    </row>
    <row r="5">
      <c r="A5" s="33" t="inlineStr">
        <is>
          <t>G05</t>
        </is>
      </c>
      <c r="B5" s="33" t="inlineStr">
        <is>
          <t>50107</t>
        </is>
      </c>
      <c r="C5" s="33" t="inlineStr">
        <is>
          <t>Floor Stringer (S1+S2) — 150S41-115-500 × 2394mm</t>
        </is>
      </c>
      <c r="D5" s="33" t="inlineStr">
        <is>
          <t>nr</t>
        </is>
      </c>
      <c r="E5" s="33" t="n">
        <v>18</v>
      </c>
      <c r="F5" s="33" t="inlineStr">
        <is>
          <t>MEDIUM</t>
        </is>
      </c>
      <c r="G5" s="33" t="inlineStr">
        <is>
          <t>inferred</t>
        </is>
      </c>
      <c r="H5" s="33" t="inlineStr">
        <is>
          <t>MANUAL REVIEW REQUIRED. Profile: 150S41-115-500, length: 2394mm. 2 stringers per panel (S1×1 + S2×1). Total 18 nr. Total lm: 43.09 lm.</t>
        </is>
      </c>
    </row>
    <row r="6">
      <c r="A6" s="33" t="inlineStr">
        <is>
          <t>H02</t>
        </is>
      </c>
      <c r="B6" s="33" t="inlineStr">
        <is>
          <t>50107</t>
        </is>
      </c>
      <c r="C6" s="33" t="inlineStr">
        <is>
          <t>Substructure | Strip Footing Concrete Volume</t>
        </is>
      </c>
      <c r="D6" s="33" t="inlineStr">
        <is>
          <t>m3</t>
        </is>
      </c>
      <c r="E6" s="33" t="n">
        <v>7.68</v>
      </c>
      <c r="F6" s="33" t="inlineStr">
        <is>
          <t>LOW</t>
        </is>
      </c>
      <c r="G6" s="33" t="inlineStr">
        <is>
          <t>calculated</t>
        </is>
      </c>
      <c r="H6" s="33" t="inlineStr">
        <is>
          <t>MANUAL REVIEW REQUIRED. Strip footing assumed for steel floor frame bearing lines. Assumed 500 mm deep × 400 mm wide. Verify type and dimensions from structural drawings.</t>
        </is>
      </c>
    </row>
    <row r="7">
      <c r="A7" s="33" t="inlineStr">
        <is>
          <t>H04</t>
        </is>
      </c>
      <c r="B7" s="33" t="inlineStr">
        <is>
          <t>50107</t>
        </is>
      </c>
      <c r="C7" s="33" t="inlineStr">
        <is>
          <t>Substructure | Bulk Earthworks / Level (provisional)</t>
        </is>
      </c>
      <c r="D7" s="33" t="inlineStr">
        <is>
          <t>m3</t>
        </is>
      </c>
      <c r="E7" s="33" t="n">
        <v>0</v>
      </c>
      <c r="F7" s="33" t="inlineStr">
        <is>
          <t>LOW</t>
        </is>
      </c>
      <c r="G7" s="33" t="inlineStr">
        <is>
          <t>placeholder</t>
        </is>
      </c>
      <c r="H7" s="33" t="inlineStr">
        <is>
          <t>MANUAL REVIEW REQUIRED. Excavation volume cannot be derived from architectural documents.</t>
        </is>
      </c>
    </row>
    <row r="8">
      <c r="A8" s="33" t="inlineStr">
        <is>
          <t>H06</t>
        </is>
      </c>
      <c r="B8" s="33" t="inlineStr">
        <is>
          <t>50107</t>
        </is>
      </c>
      <c r="C8" s="33" t="inlineStr">
        <is>
          <t>Substructure | Strip Footing, Internal Bearing</t>
        </is>
      </c>
      <c r="D8" s="33" t="inlineStr">
        <is>
          <t>m3</t>
        </is>
      </c>
      <c r="E8" s="33" t="n">
        <v>5.88</v>
      </c>
      <c r="F8" s="33" t="inlineStr">
        <is>
          <t>LOW</t>
        </is>
      </c>
      <c r="G8" s="33" t="inlineStr">
        <is>
          <t>calculated</t>
        </is>
      </c>
      <c r="H8" s="33" t="inlineStr">
        <is>
          <t>MANUAL REVIEW REQUIRED. Assumed 500 mm deep × 400 mm wide. Verify.</t>
        </is>
      </c>
    </row>
    <row r="9">
      <c r="A9" s="33" t="inlineStr">
        <is>
          <t>H08</t>
        </is>
      </c>
      <c r="B9" s="33" t="inlineStr">
        <is>
          <t>50107</t>
        </is>
      </c>
      <c r="C9" s="33" t="inlineStr">
        <is>
          <t>Substructure | Pad Footing Concrete Volume</t>
        </is>
      </c>
      <c r="D9" s="33" t="inlineStr">
        <is>
          <t>m3</t>
        </is>
      </c>
      <c r="E9" s="33" t="n">
        <v>5.145</v>
      </c>
      <c r="F9" s="33" t="inlineStr">
        <is>
          <t>LOW</t>
        </is>
      </c>
      <c r="G9" s="33" t="inlineStr">
        <is>
          <t>calculated</t>
        </is>
      </c>
      <c r="H9" s="33" t="inlineStr">
        <is>
          <t>MANUAL REVIEW REQUIRED. Assumes 700×700×700 mm pads. Verify from structural engineer.</t>
        </is>
      </c>
    </row>
    <row r="10">
      <c r="A10" s="33" t="inlineStr">
        <is>
          <t>A12</t>
        </is>
      </c>
      <c r="B10" s="33" t="inlineStr">
        <is>
          <t>50111</t>
        </is>
      </c>
      <c r="C10" s="33" t="inlineStr">
        <is>
          <t>Fixing | 12G-14x20mm HEX Head, DP</t>
        </is>
      </c>
      <c r="D10" s="33" t="inlineStr">
        <is>
          <t>boxes</t>
        </is>
      </c>
      <c r="E10" s="33" t="n">
        <v>19</v>
      </c>
      <c r="F10" s="33" t="inlineStr">
        <is>
          <t>MEDIUM</t>
        </is>
      </c>
      <c r="G10" s="33" t="inlineStr">
        <is>
          <t>calculated</t>
        </is>
      </c>
      <c r="H10" s="33" t="inlineStr">
        <is>
          <t>MANUAL REVIEW REQUIRED. Stud-to-track connections: 2300.4lm × 4.0 per m = ~9202 screws, 19 boxes (500/box). Density: 2 screws per stud end (top+bottom). Verify with FrameCAD connection schedule.</t>
        </is>
      </c>
    </row>
    <row r="11">
      <c r="A11" s="33" t="inlineStr">
        <is>
          <t>A13</t>
        </is>
      </c>
      <c r="B11" s="33" t="inlineStr">
        <is>
          <t>50111</t>
        </is>
      </c>
      <c r="C11" s="33" t="inlineStr">
        <is>
          <t>Fixing | 10G-24x40mm Countersunk, DP</t>
        </is>
      </c>
      <c r="D11" s="33" t="inlineStr">
        <is>
          <t>boxes</t>
        </is>
      </c>
      <c r="E11" s="33" t="n">
        <v>3</v>
      </c>
      <c r="F11" s="33" t="inlineStr">
        <is>
          <t>MEDIUM</t>
        </is>
      </c>
      <c r="G11" s="33" t="inlineStr">
        <is>
          <t>calculated</t>
        </is>
      </c>
      <c r="H11" s="33" t="inlineStr">
        <is>
          <t>MANUAL REVIEW REQUIRED. Purlin-to-rafter / roof panel connections: 481.7lm × 3.0 per m = ~1445 screws, 3 boxes. Verify with FrameCAD connection report.</t>
        </is>
      </c>
    </row>
    <row r="12">
      <c r="A12" s="33" t="inlineStr">
        <is>
          <t>A14</t>
        </is>
      </c>
      <c r="B12" s="33" t="inlineStr">
        <is>
          <t>50111</t>
        </is>
      </c>
      <c r="C12" s="33" t="inlineStr">
        <is>
          <t>Fixing | 10G-14x16mm Wafer Head, DP</t>
        </is>
      </c>
      <c r="D12" s="33" t="inlineStr">
        <is>
          <t>boxes</t>
        </is>
      </c>
      <c r="E12" s="33" t="n">
        <v>7</v>
      </c>
      <c r="F12" s="33" t="inlineStr">
        <is>
          <t>LOW</t>
        </is>
      </c>
      <c r="G12" s="33" t="inlineStr">
        <is>
          <t>calculated</t>
        </is>
      </c>
      <c r="H12" s="33" t="inlineStr">
        <is>
          <t>MANUAL REVIEW REQUIRED. Batten-to-purlin connections: 1385.3lm total batten × 2.5 per m = ~3463. Includes roof, wall, and ceiling batten zones from FrameCAD BOM. Verify zone scope before ordering.</t>
        </is>
      </c>
    </row>
    <row r="13">
      <c r="A13" s="33" t="inlineStr">
        <is>
          <t>A15</t>
        </is>
      </c>
      <c r="B13" s="33" t="inlineStr">
        <is>
          <t>50111</t>
        </is>
      </c>
      <c r="C13" s="33" t="inlineStr">
        <is>
          <t>Fixing | M12 x 75mm Sleeve Anchor (Pad Footings)</t>
        </is>
      </c>
      <c r="D13" s="33" t="inlineStr">
        <is>
          <t>nr</t>
        </is>
      </c>
      <c r="E13" s="33" t="n">
        <v>60</v>
      </c>
      <c r="F13" s="33" t="inlineStr">
        <is>
          <t>MEDIUM</t>
        </is>
      </c>
      <c r="G13" s="33" t="inlineStr">
        <is>
          <t>calculated</t>
        </is>
      </c>
      <c r="H13" s="33" t="inlineStr">
        <is>
          <t>MANUAL REVIEW REQUIRED. 15 pad footings × 4 M12×75 anchors each (4-bolt base plate). Verify anchor embedment depth and edge distance from structural engineer.</t>
        </is>
      </c>
    </row>
    <row r="14">
      <c r="A14" s="33" t="inlineStr">
        <is>
          <t>A16</t>
        </is>
      </c>
      <c r="B14" s="33" t="inlineStr">
        <is>
          <t>50111</t>
        </is>
      </c>
      <c r="C14" s="33" t="inlineStr">
        <is>
          <t>PH Bracket | Post Holder (PHA/PHB/PHD)</t>
        </is>
      </c>
      <c r="D14" s="33" t="inlineStr">
        <is>
          <t>nr</t>
        </is>
      </c>
      <c r="E14" s="33" t="n">
        <v>28</v>
      </c>
      <c r="F14" s="33" t="inlineStr">
        <is>
          <t>LOW</t>
        </is>
      </c>
      <c r="G14" s="33" t="inlineStr">
        <is>
          <t>calculated</t>
        </is>
      </c>
      <c r="H14" s="33" t="inlineStr">
        <is>
          <t>MANUAL REVIEW REQUIRED. Post holder brackets at column bases. Count estimated from IFC steel post lm. Verify bracket type (PHA/PHB/PHD) against post size and load from structural drawings.</t>
        </is>
      </c>
    </row>
    <row r="15">
      <c r="A15" s="33" t="inlineStr">
        <is>
          <t>A17</t>
        </is>
      </c>
      <c r="B15" s="33" t="inlineStr">
        <is>
          <t>50111</t>
        </is>
      </c>
      <c r="C15" s="33" t="inlineStr">
        <is>
          <t>Accessories | Triple Grip Connector (Pryda)</t>
        </is>
      </c>
      <c r="D15" s="33" t="inlineStr">
        <is>
          <t>nr</t>
        </is>
      </c>
      <c r="E15" s="33" t="n">
        <v>36</v>
      </c>
      <c r="F15" s="33" t="inlineStr">
        <is>
          <t>LOW</t>
        </is>
      </c>
      <c r="G15" s="33" t="inlineStr">
        <is>
          <t>calculated</t>
        </is>
      </c>
      <c r="H15" s="33" t="inlineStr">
        <is>
          <t>MANUAL REVIEW REQUIRED. Roof-to-wall-plate cyclonic uplift connections at 1.2m centres along 42.4m eave line = 36 nr. Verify spacing and type from structural engineer (cyclone region requirement).</t>
        </is>
      </c>
    </row>
    <row r="16">
      <c r="A16" s="33" t="inlineStr">
        <is>
          <t>A18</t>
        </is>
      </c>
      <c r="B16" s="33" t="inlineStr">
        <is>
          <t>50111</t>
        </is>
      </c>
      <c r="C16" s="33" t="inlineStr">
        <is>
          <t>Accessories | Hold Down Washer, Cyclonic</t>
        </is>
      </c>
      <c r="D16" s="33" t="inlineStr">
        <is>
          <t>nr</t>
        </is>
      </c>
      <c r="E16" s="33" t="n">
        <v>60</v>
      </c>
      <c r="F16" s="33" t="inlineStr">
        <is>
          <t>LOW</t>
        </is>
      </c>
      <c r="G16" s="33" t="inlineStr">
        <is>
          <t>calculated</t>
        </is>
      </c>
      <c r="H16" s="33" t="inlineStr">
        <is>
          <t>MANUAL REVIEW REQUIRED. Hold-down washers at post base connections. 15 pads × 4 = 60 nr. Verify washer specification (size, grade) from structural drawings.</t>
        </is>
      </c>
    </row>
    <row r="17">
      <c r="A17" s="33" t="inlineStr">
        <is>
          <t>A19</t>
        </is>
      </c>
      <c r="B17" s="33" t="inlineStr">
        <is>
          <t>50111</t>
        </is>
      </c>
      <c r="C17" s="33" t="inlineStr">
        <is>
          <t>Accessories | Fix Plate Connector, G350</t>
        </is>
      </c>
      <c r="D17" s="33" t="inlineStr">
        <is>
          <t>nr</t>
        </is>
      </c>
      <c r="E17" s="33" t="n">
        <v>18</v>
      </c>
      <c r="F17" s="33" t="inlineStr">
        <is>
          <t>LOW</t>
        </is>
      </c>
      <c r="G17" s="33" t="inlineStr">
        <is>
          <t>calculated</t>
        </is>
      </c>
      <c r="H17" s="33" t="inlineStr">
        <is>
          <t>MANUAL REVIEW REQUIRED. Fix plates at strap bracing termination points: 49.7lm × 0.35 = 18 nr. Verify against FrameCAD connection schedule.</t>
        </is>
      </c>
    </row>
    <row r="18">
      <c r="A18" s="33" t="inlineStr">
        <is>
          <t>A20</t>
        </is>
      </c>
      <c r="B18" s="33" t="inlineStr">
        <is>
          <t>50111</t>
        </is>
      </c>
      <c r="C18" s="33" t="inlineStr">
        <is>
          <t>Accessories | Strap Brace Tensioner</t>
        </is>
      </c>
      <c r="D18" s="33" t="inlineStr">
        <is>
          <t>nr</t>
        </is>
      </c>
      <c r="E18" s="33" t="n">
        <v>34</v>
      </c>
      <c r="F18" s="33" t="inlineStr">
        <is>
          <t>LOW</t>
        </is>
      </c>
      <c r="G18" s="33" t="inlineStr">
        <is>
          <t>calculated</t>
        </is>
      </c>
      <c r="H18" s="33" t="inlineStr">
        <is>
          <t>MANUAL REVIEW REQUIRED. Strap termination anchors: 49.7lm ÷ 3m avg run = 17 runs × 2 ends. Verify strap count and anchor type from FrameCAD connection schedule.</t>
        </is>
      </c>
    </row>
    <row r="19">
      <c r="A19" s="33" t="inlineStr">
        <is>
          <t>A21</t>
        </is>
      </c>
      <c r="B19" s="33" t="inlineStr">
        <is>
          <t>50111</t>
        </is>
      </c>
      <c r="C19" s="33" t="inlineStr">
        <is>
          <t>Accessories | Grommet 35mm Dia</t>
        </is>
      </c>
      <c r="D19" s="33" t="inlineStr">
        <is>
          <t>nr</t>
        </is>
      </c>
      <c r="E19" s="33" t="n">
        <v>45</v>
      </c>
      <c r="F19" s="33" t="inlineStr">
        <is>
          <t>LOW</t>
        </is>
      </c>
      <c r="G19" s="33" t="inlineStr">
        <is>
          <t>inferred</t>
        </is>
      </c>
      <c r="H19" s="33" t="inlineStr">
        <is>
          <t>MANUAL REVIEW REQUIRED. Cable/conduit grommets at LGS stud penetrations. 29.4m internal wall × 1.5 per m = 45 nr. Quantity depends on electrical/hydraulic layout. Verify from services drawings.</t>
        </is>
      </c>
    </row>
    <row r="20">
      <c r="A20" s="33" t="inlineStr">
        <is>
          <t>A22</t>
        </is>
      </c>
      <c r="B20" s="33" t="inlineStr">
        <is>
          <t>50111</t>
        </is>
      </c>
      <c r="C20" s="33" t="inlineStr">
        <is>
          <t>Fixing | Structural Fixings Remainder (PLACEHOLDER)</t>
        </is>
      </c>
      <c r="D20" s="33" t="inlineStr">
        <is>
          <t>item</t>
        </is>
      </c>
      <c r="E20" s="33" t="n">
        <v>0</v>
      </c>
      <c r="F20" s="33" t="inlineStr">
        <is>
          <t>LOW</t>
        </is>
      </c>
      <c r="G20" s="33" t="inlineStr">
        <is>
          <t>placeholder</t>
        </is>
      </c>
      <c r="H20" s="33" t="inlineStr">
        <is>
          <t>MANUAL REVIEW REQUIRED. PLACEHOLDER for connection schedule items not derivable from member lm alone. Typical items: M10/M12/M16 hex bolts (hold-down posts), angle brackets (knee bracing, ridge connections), spring washers, nyloc nuts. Obtain FrameCAD connection report for full schedule. Reference BOQ includes 256+ individual fixing line items — this row represents residual scope.</t>
        </is>
      </c>
    </row>
    <row r="21">
      <c r="A21" s="33" t="inlineStr">
        <is>
          <t>B03</t>
        </is>
      </c>
      <c r="B21" s="33" t="inlineStr">
        <is>
          <t>50112</t>
        </is>
      </c>
      <c r="C21" s="33" t="inlineStr">
        <is>
          <t>Roof Cladding | Custom Orb Corrugated CGI Sheet</t>
        </is>
      </c>
      <c r="D21" s="33" t="inlineStr">
        <is>
          <t>sheets</t>
        </is>
      </c>
      <c r="E21" s="33" t="n">
        <v>49</v>
      </c>
      <c r="F21" s="33" t="inlineStr">
        <is>
          <t>MEDIUM</t>
        </is>
      </c>
      <c r="G21" s="33" t="inlineStr">
        <is>
          <t>calculated</t>
        </is>
      </c>
      <c r="H21" s="33" t="inlineStr">
        <is>
          <t>MANUAL REVIEW REQUIRED. run=2.51m (area/eaves) + 150mm lap → select 3.0m stock Verify sheet length and profile from spec.</t>
        </is>
      </c>
    </row>
    <row r="22">
      <c r="A22" s="33" t="inlineStr">
        <is>
          <t>B13</t>
        </is>
      </c>
      <c r="B22" s="33" t="inlineStr">
        <is>
          <t>50112</t>
        </is>
      </c>
      <c r="C22" s="33" t="inlineStr">
        <is>
          <t>Barge Cap | Galvanised, lm</t>
        </is>
      </c>
      <c r="D22" s="33" t="inlineStr">
        <is>
          <t>lm</t>
        </is>
      </c>
      <c r="E22" s="33" t="n">
        <v>8.5</v>
      </c>
      <c r="F22" s="33" t="inlineStr">
        <is>
          <t>LOW</t>
        </is>
      </c>
      <c r="G22" s="33" t="inlineStr">
        <is>
          <t>calculated</t>
        </is>
      </c>
      <c r="H22" s="33" t="inlineStr">
        <is>
          <t>MANUAL REVIEW REQUIRED.</t>
        </is>
      </c>
    </row>
    <row r="23">
      <c r="A23" s="33" t="inlineStr">
        <is>
          <t>B14</t>
        </is>
      </c>
      <c r="B23" s="33" t="inlineStr">
        <is>
          <t>50112</t>
        </is>
      </c>
      <c r="C23" s="33" t="inlineStr">
        <is>
          <t>Barge End Cap | Galvanised</t>
        </is>
      </c>
      <c r="D23" s="33" t="inlineStr">
        <is>
          <t>nr</t>
        </is>
      </c>
      <c r="E23" s="33" t="n">
        <v>2</v>
      </c>
      <c r="F23" s="33" t="inlineStr">
        <is>
          <t>LOW</t>
        </is>
      </c>
      <c r="G23" s="33" t="inlineStr">
        <is>
          <t>calculated</t>
        </is>
      </c>
      <c r="H23" s="33" t="inlineStr">
        <is>
          <t>MANUAL REVIEW REQUIRED. 2 end caps per barge run (ridge peak and eaves)</t>
        </is>
      </c>
    </row>
    <row r="24">
      <c r="A24" s="33" t="inlineStr">
        <is>
          <t>K05</t>
        </is>
      </c>
      <c r="B24" s="33" t="inlineStr">
        <is>
          <t>50113</t>
        </is>
      </c>
      <c r="C24" s="33" t="inlineStr">
        <is>
          <t>External Cladding | FC Weatherboard</t>
        </is>
      </c>
      <c r="D24" s="33" t="inlineStr">
        <is>
          <t>nr</t>
        </is>
      </c>
      <c r="E24" s="33" t="n">
        <v>126</v>
      </c>
      <c r="F24" s="33" t="inlineStr">
        <is>
          <t>MEDIUM</t>
        </is>
      </c>
      <c r="G24" s="33" t="inlineStr">
        <is>
          <t>calculated</t>
        </is>
      </c>
      <c r="H24" s="33" t="inlineStr">
        <is>
          <t>MANUAL REVIEW REQUIRED. Weatherboard: 200mm exposure, 4200mm stock length. Count includes 5% waste.  Verify board profile and lap from spec.</t>
        </is>
      </c>
    </row>
    <row r="25">
      <c r="A25" s="33" t="inlineStr">
        <is>
          <t>K13</t>
        </is>
      </c>
      <c r="B25" s="33" t="inlineStr">
        <is>
          <t>50113</t>
        </is>
      </c>
      <c r="C25" s="33" t="inlineStr">
        <is>
          <t>Substructure | Site Preparation (Provisional)</t>
        </is>
      </c>
      <c r="D25" s="33" t="inlineStr">
        <is>
          <t>item</t>
        </is>
      </c>
      <c r="E25" s="33" t="n">
        <v>0</v>
      </c>
      <c r="F25" s="33" t="inlineStr">
        <is>
          <t>LOW</t>
        </is>
      </c>
      <c r="G25" s="33" t="inlineStr">
        <is>
          <t>placeholder</t>
        </is>
      </c>
      <c r="H25" s="33" t="inlineStr">
        <is>
          <t>MANUAL REVIEW REQUIRED. Site preparation scope cannot be derived from drawings. Confirm with engineer.</t>
        </is>
      </c>
    </row>
    <row r="26">
      <c r="A26" s="33" t="inlineStr">
        <is>
          <t>D26</t>
        </is>
      </c>
      <c r="B26" s="33" t="inlineStr">
        <is>
          <t>50114</t>
        </is>
      </c>
      <c r="C26" s="33" t="inlineStr">
        <is>
          <t>Window | Louvre Blade, 1100mm Wide</t>
        </is>
      </c>
      <c r="D26" s="33" t="inlineStr">
        <is>
          <t>nr</t>
        </is>
      </c>
      <c r="E26" s="33" t="n">
        <v>64</v>
      </c>
      <c r="F26" s="33" t="inlineStr">
        <is>
          <t>LOW</t>
        </is>
      </c>
      <c r="G26" s="33" t="inlineStr">
        <is>
          <t>calculated</t>
        </is>
      </c>
      <c r="H26" s="33" t="inlineStr">
        <is>
          <t>MANUAL REVIEW REQUIRED. Frame height 750 mm (config_default=750mm). 8 blades per frame at 100 mm pitch. Verify blade count and size from window schedule.</t>
        </is>
      </c>
    </row>
    <row r="27">
      <c r="A27" s="33" t="inlineStr">
        <is>
          <t>D29</t>
        </is>
      </c>
      <c r="B27" s="33" t="inlineStr">
        <is>
          <t>50114</t>
        </is>
      </c>
      <c r="C27" s="33" t="inlineStr">
        <is>
          <t>Window | Louvre Blade, 800mm Wide</t>
        </is>
      </c>
      <c r="D27" s="33" t="inlineStr">
        <is>
          <t>nr</t>
        </is>
      </c>
      <c r="E27" s="33" t="n">
        <v>16</v>
      </c>
      <c r="F27" s="33" t="inlineStr">
        <is>
          <t>LOW</t>
        </is>
      </c>
      <c r="G27" s="33" t="inlineStr">
        <is>
          <t>calculated</t>
        </is>
      </c>
      <c r="H27" s="33" t="inlineStr">
        <is>
          <t>MANUAL REVIEW REQUIRED. Frame height 750 mm (config_default=750mm). 8 blades per frame at 100 mm pitch. Verify blade count and size from window schedule.</t>
        </is>
      </c>
    </row>
    <row r="28">
      <c r="A28" s="33" t="inlineStr">
        <is>
          <t>D32</t>
        </is>
      </c>
      <c r="B28" s="33" t="inlineStr">
        <is>
          <t>50114</t>
        </is>
      </c>
      <c r="C28" s="33" t="inlineStr">
        <is>
          <t>Window | Louvre Blade, 1800mm Wide</t>
        </is>
      </c>
      <c r="D28" s="33" t="inlineStr">
        <is>
          <t>nr</t>
        </is>
      </c>
      <c r="E28" s="33" t="n">
        <v>8</v>
      </c>
      <c r="F28" s="33" t="inlineStr">
        <is>
          <t>LOW</t>
        </is>
      </c>
      <c r="G28" s="33" t="inlineStr">
        <is>
          <t>calculated</t>
        </is>
      </c>
      <c r="H28" s="33" t="inlineStr">
        <is>
          <t>MANUAL REVIEW REQUIRED. Frame height 750 mm (config_default=750mm). 8 blades per frame at 100 mm pitch. Verify blade count and size from window schedule.</t>
        </is>
      </c>
    </row>
    <row r="29">
      <c r="A29" s="33" t="inlineStr">
        <is>
          <t>D42</t>
        </is>
      </c>
      <c r="B29" s="33" t="inlineStr">
        <is>
          <t>50114</t>
        </is>
      </c>
      <c r="C29" s="33" t="inlineStr">
        <is>
          <t>Window | Fly Screen, 1100mm Wide</t>
        </is>
      </c>
      <c r="D29" s="33" t="inlineStr">
        <is>
          <t>m2</t>
        </is>
      </c>
      <c r="E29" s="33" t="n">
        <v>6.48</v>
      </c>
      <c r="F29" s="33" t="inlineStr">
        <is>
          <t>LOW</t>
        </is>
      </c>
      <c r="G29" s="33" t="inlineStr">
        <is>
          <t>calculated</t>
        </is>
      </c>
      <c r="H29" s="33" t="inlineStr">
        <is>
          <t>MANUAL REVIEW REQUIRED. Fly screen for louvre window WINDOW_LOUVRE_1100 (8 nr). Area: 1.08m × 0.750m = 0.810 m² each. Tropical building — all louvre openings require insect screening. Verify frame height from window schedule.</t>
        </is>
      </c>
    </row>
    <row r="30">
      <c r="A30" s="33" t="inlineStr">
        <is>
          <t>D43</t>
        </is>
      </c>
      <c r="B30" s="33" t="inlineStr">
        <is>
          <t>50114</t>
        </is>
      </c>
      <c r="C30" s="33" t="inlineStr">
        <is>
          <t>Window | Fly Screen, 800mm Wide</t>
        </is>
      </c>
      <c r="D30" s="33" t="inlineStr">
        <is>
          <t>m2</t>
        </is>
      </c>
      <c r="E30" s="33" t="n">
        <v>1.2</v>
      </c>
      <c r="F30" s="33" t="inlineStr">
        <is>
          <t>LOW</t>
        </is>
      </c>
      <c r="G30" s="33" t="inlineStr">
        <is>
          <t>calculated</t>
        </is>
      </c>
      <c r="H30" s="33" t="inlineStr">
        <is>
          <t>MANUAL REVIEW REQUIRED. Fly screen for louvre window WINDOW_LOUVRE_800 (2 nr). Area: 0.80m × 0.750m = 0.599 m² each. Tropical building — all louvre openings require insect screening. Verify frame height from window schedule.</t>
        </is>
      </c>
    </row>
    <row r="31">
      <c r="A31" s="33" t="inlineStr">
        <is>
          <t>D44</t>
        </is>
      </c>
      <c r="B31" s="33" t="inlineStr">
        <is>
          <t>50114</t>
        </is>
      </c>
      <c r="C31" s="33" t="inlineStr">
        <is>
          <t>Window | Fly Screen, 1800mm Wide</t>
        </is>
      </c>
      <c r="D31" s="33" t="inlineStr">
        <is>
          <t>m2</t>
        </is>
      </c>
      <c r="E31" s="33" t="n">
        <v>1.39</v>
      </c>
      <c r="F31" s="33" t="inlineStr">
        <is>
          <t>LOW</t>
        </is>
      </c>
      <c r="G31" s="33" t="inlineStr">
        <is>
          <t>calculated</t>
        </is>
      </c>
      <c r="H31" s="33" t="inlineStr">
        <is>
          <t>MANUAL REVIEW REQUIRED. Fly screen for louvre window WINDOW_LOUVRE_1800 (1 nr). Area: 1.85m × 0.750m = 1.385 m² each. Tropical building — all louvre openings require insect screening. Verify frame height from window schedule.</t>
        </is>
      </c>
    </row>
    <row r="32">
      <c r="A32" s="33" t="inlineStr">
        <is>
          <t>D45</t>
        </is>
      </c>
      <c r="B32" s="33" t="inlineStr">
        <is>
          <t>50114</t>
        </is>
      </c>
      <c r="C32" s="33" t="inlineStr">
        <is>
          <t>Door | Closer, Hydraulic</t>
        </is>
      </c>
      <c r="D32" s="33" t="inlineStr">
        <is>
          <t>nr</t>
        </is>
      </c>
      <c r="E32" s="33" t="n">
        <v>1</v>
      </c>
      <c r="F32" s="33" t="inlineStr">
        <is>
          <t>MEDIUM</t>
        </is>
      </c>
      <c r="G32" s="33" t="inlineStr">
        <is>
          <t>inferred</t>
        </is>
      </c>
      <c r="H32" s="33" t="inlineStr">
        <is>
          <t>MANUAL REVIEW REQUIRED. Door closer inferred for pharmacy entrance doors. Marks: DOOR_90 (1 nr). Verify which doors require closers from door schedule and architect. Commercial pharmacy may require controlled entry.</t>
        </is>
      </c>
    </row>
    <row r="33">
      <c r="A33" s="33" t="inlineStr">
        <is>
          <t>E06</t>
        </is>
      </c>
      <c r="B33" s="33" t="inlineStr">
        <is>
          <t>50115</t>
        </is>
      </c>
      <c r="C33" s="33" t="inlineStr">
        <is>
          <t>Internal Lining | Waterproof Board / FC, Wet Area</t>
        </is>
      </c>
      <c r="D33" s="33" t="inlineStr">
        <is>
          <t>sheets</t>
        </is>
      </c>
      <c r="E33" s="33" t="n">
        <v>7</v>
      </c>
      <c r="F33" s="33" t="inlineStr">
        <is>
          <t>LOW</t>
        </is>
      </c>
      <c r="G33" s="33" t="inlineStr">
        <is>
          <t>inferred</t>
        </is>
      </c>
      <c r="H33" s="33" t="inlineStr">
        <is>
          <t>MANUAL REVIEW REQUIRED. Wet area lining derived from room perimeter estimate. Verify room dimensions.</t>
        </is>
      </c>
    </row>
    <row r="34">
      <c r="A34" s="33" t="inlineStr">
        <is>
          <t>I01</t>
        </is>
      </c>
      <c r="B34" s="33" t="inlineStr">
        <is>
          <t>50117</t>
        </is>
      </c>
      <c r="C34" s="33" t="inlineStr">
        <is>
          <t>Hydraulics | Hand Basin</t>
        </is>
      </c>
      <c r="D34" s="33" t="inlineStr">
        <is>
          <t>nr</t>
        </is>
      </c>
      <c r="E34" s="33" t="n">
        <v>1</v>
      </c>
      <c r="F34" s="33" t="inlineStr">
        <is>
          <t>LOW</t>
        </is>
      </c>
      <c r="G34" s="33" t="inlineStr">
        <is>
          <t>inferred</t>
        </is>
      </c>
      <c r="H34" s="33" t="inlineStr">
        <is>
          <t>MANUAL REVIEW REQUIRED. Inferred from room type 'pharmacy'.</t>
        </is>
      </c>
    </row>
    <row r="35">
      <c r="A35" s="33" t="inlineStr">
        <is>
          <t>I02</t>
        </is>
      </c>
      <c r="B35" s="33" t="inlineStr">
        <is>
          <t>50117</t>
        </is>
      </c>
      <c r="C35" s="33" t="inlineStr">
        <is>
          <t>Hydraulics | Tapware</t>
        </is>
      </c>
      <c r="D35" s="33" t="inlineStr">
        <is>
          <t>set</t>
        </is>
      </c>
      <c r="E35" s="33" t="n">
        <v>1</v>
      </c>
      <c r="F35" s="33" t="inlineStr">
        <is>
          <t>LOW</t>
        </is>
      </c>
      <c r="G35" s="33" t="inlineStr">
        <is>
          <t>inferred</t>
        </is>
      </c>
      <c r="H35" s="33" t="inlineStr">
        <is>
          <t>MANUAL REVIEW REQUIRED. Inferred from room type 'pharmacy'.</t>
        </is>
      </c>
    </row>
    <row r="36">
      <c r="A36" s="33" t="inlineStr">
        <is>
          <t>I03</t>
        </is>
      </c>
      <c r="B36" s="33" t="inlineStr">
        <is>
          <t>50117</t>
        </is>
      </c>
      <c r="C36" s="33" t="inlineStr">
        <is>
          <t>Services | Cold Room / Refrigeration (PLACEHOLDER)</t>
        </is>
      </c>
      <c r="D36" s="33" t="inlineStr">
        <is>
          <t>item</t>
        </is>
      </c>
      <c r="E36" s="33" t="n">
        <v>1</v>
      </c>
      <c r="F36" s="33" t="inlineStr">
        <is>
          <t>LOW</t>
        </is>
      </c>
      <c r="G36" s="33" t="inlineStr">
        <is>
          <t>inferred</t>
        </is>
      </c>
      <c r="H36" s="33" t="inlineStr">
        <is>
          <t>MANUAL REVIEW REQUIRED. Inferred from room type 'pharmacy'.</t>
        </is>
      </c>
    </row>
    <row r="37">
      <c r="A37" s="33" t="inlineStr">
        <is>
          <t>I04</t>
        </is>
      </c>
      <c r="B37" s="33" t="inlineStr">
        <is>
          <t>50117</t>
        </is>
      </c>
      <c r="C37" s="33" t="inlineStr">
        <is>
          <t>Services | Builder's Works, Electrical</t>
        </is>
      </c>
      <c r="D37" s="33" t="inlineStr">
        <is>
          <t>item</t>
        </is>
      </c>
      <c r="E37" s="33" t="n">
        <v>1</v>
      </c>
      <c r="F37" s="33" t="inlineStr">
        <is>
          <t>LOW</t>
        </is>
      </c>
      <c r="G37" s="33" t="inlineStr">
        <is>
          <t>inferred</t>
        </is>
      </c>
      <c r="H37" s="33" t="inlineStr">
        <is>
          <t>MANUAL REVIEW REQUIRED. Inferred from room type 'pharmacy'.</t>
        </is>
      </c>
    </row>
    <row r="38">
      <c r="A38" s="33" t="inlineStr">
        <is>
          <t>I05</t>
        </is>
      </c>
      <c r="B38" s="33" t="inlineStr">
        <is>
          <t>50117</t>
        </is>
      </c>
      <c r="C38" s="33" t="inlineStr">
        <is>
          <t>Services | Builder's Works, Services</t>
        </is>
      </c>
      <c r="D38" s="33" t="inlineStr">
        <is>
          <t>item</t>
        </is>
      </c>
      <c r="E38" s="33" t="n">
        <v>1</v>
      </c>
      <c r="F38" s="33" t="inlineStr">
        <is>
          <t>LOW</t>
        </is>
      </c>
      <c r="G38" s="33" t="inlineStr">
        <is>
          <t>inferred</t>
        </is>
      </c>
      <c r="H38" s="33" t="inlineStr">
        <is>
          <t>MANUAL REVIEW REQUIRED. Inferred from room type 'waiting'.</t>
        </is>
      </c>
    </row>
    <row r="39">
      <c r="A39" s="33" t="inlineStr">
        <is>
          <t>I06</t>
        </is>
      </c>
      <c r="B39" s="33" t="inlineStr">
        <is>
          <t>50117</t>
        </is>
      </c>
      <c r="C39" s="33" t="inlineStr">
        <is>
          <t>Hydraulics | Hand Basin</t>
        </is>
      </c>
      <c r="D39" s="33" t="inlineStr">
        <is>
          <t>nr</t>
        </is>
      </c>
      <c r="E39" s="33" t="n">
        <v>1</v>
      </c>
      <c r="F39" s="33" t="inlineStr">
        <is>
          <t>LOW</t>
        </is>
      </c>
      <c r="G39" s="33" t="inlineStr">
        <is>
          <t>inferred</t>
        </is>
      </c>
      <c r="H39" s="33" t="inlineStr">
        <is>
          <t>MANUAL REVIEW REQUIRED. Inferred from room type 'consulting'.</t>
        </is>
      </c>
    </row>
    <row r="40">
      <c r="A40" s="33" t="inlineStr">
        <is>
          <t>I07</t>
        </is>
      </c>
      <c r="B40" s="33" t="inlineStr">
        <is>
          <t>50117</t>
        </is>
      </c>
      <c r="C40" s="33" t="inlineStr">
        <is>
          <t>Hydraulics | Tapware</t>
        </is>
      </c>
      <c r="D40" s="33" t="inlineStr">
        <is>
          <t>set</t>
        </is>
      </c>
      <c r="E40" s="33" t="n">
        <v>1</v>
      </c>
      <c r="F40" s="33" t="inlineStr">
        <is>
          <t>LOW</t>
        </is>
      </c>
      <c r="G40" s="33" t="inlineStr">
        <is>
          <t>inferred</t>
        </is>
      </c>
      <c r="H40" s="33" t="inlineStr">
        <is>
          <t>MANUAL REVIEW REQUIRED. Inferred from room type 'consulting'.</t>
        </is>
      </c>
    </row>
    <row r="41">
      <c r="A41" s="33" t="inlineStr">
        <is>
          <t>I08</t>
        </is>
      </c>
      <c r="B41" s="33" t="inlineStr">
        <is>
          <t>50117</t>
        </is>
      </c>
      <c r="C41" s="33" t="inlineStr">
        <is>
          <t>Hydraulics | Builder's Works (Plumbing)</t>
        </is>
      </c>
      <c r="D41" s="33" t="inlineStr">
        <is>
          <t>item</t>
        </is>
      </c>
      <c r="E41" s="33" t="n">
        <v>1</v>
      </c>
      <c r="F41" s="33" t="inlineStr">
        <is>
          <t>LOW</t>
        </is>
      </c>
      <c r="G41" s="33" t="inlineStr">
        <is>
          <t>inferred</t>
        </is>
      </c>
      <c r="H41" s="33" t="inlineStr">
        <is>
          <t>MANUAL REVIEW REQUIRED. Inferred from room type 'consulting'.</t>
        </is>
      </c>
    </row>
    <row r="42">
      <c r="A42" s="33" t="inlineStr">
        <is>
          <t>I09</t>
        </is>
      </c>
      <c r="B42" s="33" t="inlineStr">
        <is>
          <t>50117</t>
        </is>
      </c>
      <c r="C42" s="33" t="inlineStr">
        <is>
          <t>Services | Builder's Works, Electrical</t>
        </is>
      </c>
      <c r="D42" s="33" t="inlineStr">
        <is>
          <t>item</t>
        </is>
      </c>
      <c r="E42" s="33" t="n">
        <v>1</v>
      </c>
      <c r="F42" s="33" t="inlineStr">
        <is>
          <t>LOW</t>
        </is>
      </c>
      <c r="G42" s="33" t="inlineStr">
        <is>
          <t>inferred</t>
        </is>
      </c>
      <c r="H42" s="33" t="inlineStr">
        <is>
          <t>MANUAL REVIEW REQUIRED. Inferred from room type 'office'.</t>
        </is>
      </c>
    </row>
    <row r="43">
      <c r="A43" s="33" t="inlineStr">
        <is>
          <t>I10</t>
        </is>
      </c>
      <c r="B43" s="33" t="inlineStr">
        <is>
          <t>50117</t>
        </is>
      </c>
      <c r="C43" s="33" t="inlineStr">
        <is>
          <t>Hydraulics | WC Pan (close-coupled)</t>
        </is>
      </c>
      <c r="D43" s="33" t="inlineStr">
        <is>
          <t>nr</t>
        </is>
      </c>
      <c r="E43" s="33" t="n">
        <v>1</v>
      </c>
      <c r="F43" s="33" t="inlineStr">
        <is>
          <t>MEDIUM</t>
        </is>
      </c>
      <c r="G43" s="33" t="inlineStr">
        <is>
          <t>inferred</t>
        </is>
      </c>
      <c r="H43" s="33" t="inlineStr">
        <is>
          <t>MANUAL REVIEW REQUIRED. Inferred from room type 'toilet'.</t>
        </is>
      </c>
    </row>
    <row r="44">
      <c r="A44" s="33" t="inlineStr">
        <is>
          <t>I11</t>
        </is>
      </c>
      <c r="B44" s="33" t="inlineStr">
        <is>
          <t>50117</t>
        </is>
      </c>
      <c r="C44" s="33" t="inlineStr">
        <is>
          <t>Hydraulics | WC Cistern</t>
        </is>
      </c>
      <c r="D44" s="33" t="inlineStr">
        <is>
          <t>nr</t>
        </is>
      </c>
      <c r="E44" s="33" t="n">
        <v>1</v>
      </c>
      <c r="F44" s="33" t="inlineStr">
        <is>
          <t>MEDIUM</t>
        </is>
      </c>
      <c r="G44" s="33" t="inlineStr">
        <is>
          <t>inferred</t>
        </is>
      </c>
      <c r="H44" s="33" t="inlineStr">
        <is>
          <t>MANUAL REVIEW REQUIRED. Inferred from room type 'toilet'.</t>
        </is>
      </c>
    </row>
    <row r="45">
      <c r="A45" s="33" t="inlineStr">
        <is>
          <t>I12</t>
        </is>
      </c>
      <c r="B45" s="33" t="inlineStr">
        <is>
          <t>50117</t>
        </is>
      </c>
      <c r="C45" s="33" t="inlineStr">
        <is>
          <t>Hydraulics | Hand Basin</t>
        </is>
      </c>
      <c r="D45" s="33" t="inlineStr">
        <is>
          <t>nr</t>
        </is>
      </c>
      <c r="E45" s="33" t="n">
        <v>1</v>
      </c>
      <c r="F45" s="33" t="inlineStr">
        <is>
          <t>MEDIUM</t>
        </is>
      </c>
      <c r="G45" s="33" t="inlineStr">
        <is>
          <t>inferred</t>
        </is>
      </c>
      <c r="H45" s="33" t="inlineStr">
        <is>
          <t>MANUAL REVIEW REQUIRED. Inferred from room type 'toilet'.</t>
        </is>
      </c>
    </row>
    <row r="46">
      <c r="A46" s="33" t="inlineStr">
        <is>
          <t>I13</t>
        </is>
      </c>
      <c r="B46" s="33" t="inlineStr">
        <is>
          <t>50117</t>
        </is>
      </c>
      <c r="C46" s="33" t="inlineStr">
        <is>
          <t>Hydraulics | Tapware</t>
        </is>
      </c>
      <c r="D46" s="33" t="inlineStr">
        <is>
          <t>set</t>
        </is>
      </c>
      <c r="E46" s="33" t="n">
        <v>1</v>
      </c>
      <c r="F46" s="33" t="inlineStr">
        <is>
          <t>MEDIUM</t>
        </is>
      </c>
      <c r="G46" s="33" t="inlineStr">
        <is>
          <t>inferred</t>
        </is>
      </c>
      <c r="H46" s="33" t="inlineStr">
        <is>
          <t>MANUAL REVIEW REQUIRED. Inferred from room type 'toilet'.</t>
        </is>
      </c>
    </row>
    <row r="47">
      <c r="A47" s="33" t="inlineStr">
        <is>
          <t>I14</t>
        </is>
      </c>
      <c r="B47" s="33" t="inlineStr">
        <is>
          <t>50117</t>
        </is>
      </c>
      <c r="C47" s="33" t="inlineStr">
        <is>
          <t>FFE | Mirror</t>
        </is>
      </c>
      <c r="D47" s="33" t="inlineStr">
        <is>
          <t>nr</t>
        </is>
      </c>
      <c r="E47" s="33" t="n">
        <v>1</v>
      </c>
      <c r="F47" s="33" t="inlineStr">
        <is>
          <t>LOW</t>
        </is>
      </c>
      <c r="G47" s="33" t="inlineStr">
        <is>
          <t>inferred</t>
        </is>
      </c>
      <c r="H47" s="33" t="inlineStr">
        <is>
          <t>MANUAL REVIEW REQUIRED. Inferred from room type 'toilet'.</t>
        </is>
      </c>
    </row>
    <row r="48">
      <c r="A48" s="33" t="inlineStr">
        <is>
          <t>I15</t>
        </is>
      </c>
      <c r="B48" s="33" t="inlineStr">
        <is>
          <t>50117</t>
        </is>
      </c>
      <c r="C48" s="33" t="inlineStr">
        <is>
          <t>FFE | Toilet Roll Holder</t>
        </is>
      </c>
      <c r="D48" s="33" t="inlineStr">
        <is>
          <t>nr</t>
        </is>
      </c>
      <c r="E48" s="33" t="n">
        <v>1</v>
      </c>
      <c r="F48" s="33" t="inlineStr">
        <is>
          <t>LOW</t>
        </is>
      </c>
      <c r="G48" s="33" t="inlineStr">
        <is>
          <t>inferred</t>
        </is>
      </c>
      <c r="H48" s="33" t="inlineStr">
        <is>
          <t>MANUAL REVIEW REQUIRED. Inferred from room type 'toilet'.</t>
        </is>
      </c>
    </row>
    <row r="49">
      <c r="A49" s="33" t="inlineStr">
        <is>
          <t>I16</t>
        </is>
      </c>
      <c r="B49" s="33" t="inlineStr">
        <is>
          <t>50117</t>
        </is>
      </c>
      <c r="C49" s="33" t="inlineStr">
        <is>
          <t>FFE | Towel Rail</t>
        </is>
      </c>
      <c r="D49" s="33" t="inlineStr">
        <is>
          <t>nr</t>
        </is>
      </c>
      <c r="E49" s="33" t="n">
        <v>1</v>
      </c>
      <c r="F49" s="33" t="inlineStr">
        <is>
          <t>LOW</t>
        </is>
      </c>
      <c r="G49" s="33" t="inlineStr">
        <is>
          <t>inferred</t>
        </is>
      </c>
      <c r="H49" s="33" t="inlineStr">
        <is>
          <t>MANUAL REVIEW REQUIRED. Inferred from room type 'toilet'.</t>
        </is>
      </c>
    </row>
    <row r="50">
      <c r="A50" s="33" t="inlineStr">
        <is>
          <t>I17</t>
        </is>
      </c>
      <c r="B50" s="33" t="inlineStr">
        <is>
          <t>50117</t>
        </is>
      </c>
      <c r="C50" s="33" t="inlineStr">
        <is>
          <t>Hydraulics | Floor Waste</t>
        </is>
      </c>
      <c r="D50" s="33" t="inlineStr">
        <is>
          <t>nr</t>
        </is>
      </c>
      <c r="E50" s="33" t="n">
        <v>1</v>
      </c>
      <c r="F50" s="33" t="inlineStr">
        <is>
          <t>MEDIUM</t>
        </is>
      </c>
      <c r="G50" s="33" t="inlineStr">
        <is>
          <t>inferred</t>
        </is>
      </c>
      <c r="H50" s="33" t="inlineStr">
        <is>
          <t>MANUAL REVIEW REQUIRED. Inferred from room type 'toilet'.</t>
        </is>
      </c>
    </row>
    <row r="51">
      <c r="A51" s="33" t="inlineStr">
        <is>
          <t>I18</t>
        </is>
      </c>
      <c r="B51" s="33" t="inlineStr">
        <is>
          <t>50117</t>
        </is>
      </c>
      <c r="C51" s="33" t="inlineStr">
        <is>
          <t>Hydraulics | Builder's Works (Plumbing)</t>
        </is>
      </c>
      <c r="D51" s="33" t="inlineStr">
        <is>
          <t>item</t>
        </is>
      </c>
      <c r="E51" s="33" t="n">
        <v>1</v>
      </c>
      <c r="F51" s="33" t="inlineStr">
        <is>
          <t>MEDIUM</t>
        </is>
      </c>
      <c r="G51" s="33" t="inlineStr">
        <is>
          <t>inferred</t>
        </is>
      </c>
      <c r="H51" s="33" t="inlineStr">
        <is>
          <t>MANUAL REVIEW REQUIRED. Inferred from room type 'toilet'.</t>
        </is>
      </c>
    </row>
    <row r="52">
      <c r="A52" s="33" t="inlineStr">
        <is>
          <t>I19</t>
        </is>
      </c>
      <c r="B52" s="33" t="inlineStr">
        <is>
          <t>50117</t>
        </is>
      </c>
      <c r="C52" s="33" t="inlineStr">
        <is>
          <t>Hydraulics | WC Pan</t>
        </is>
      </c>
      <c r="D52" s="33" t="inlineStr">
        <is>
          <t>m2</t>
        </is>
      </c>
      <c r="E52" s="33" t="n">
        <v>15.3</v>
      </c>
      <c r="F52" s="33" t="inlineStr">
        <is>
          <t>LOW</t>
        </is>
      </c>
      <c r="G52" s="33" t="inlineStr">
        <is>
          <t>inferred</t>
        </is>
      </c>
      <c r="H52" s="33" t="inlineStr">
        <is>
          <t>MANUAL REVIEW REQUIRED. Inferred: perimeter (8.5 m) × 1800 mm splash-zone height. No finish schedule in source documents. Verify tile type, height, and area from architectural drawings. Deduct openings.</t>
        </is>
      </c>
    </row>
    <row r="53">
      <c r="A53" s="33" t="inlineStr">
        <is>
          <t>I20</t>
        </is>
      </c>
      <c r="B53" s="33" t="inlineStr">
        <is>
          <t>50117</t>
        </is>
      </c>
      <c r="C53" s="33" t="inlineStr">
        <is>
          <t>Hydraulics | Wet Area Waterproofing Membrane</t>
        </is>
      </c>
      <c r="D53" s="33" t="inlineStr">
        <is>
          <t>m2</t>
        </is>
      </c>
      <c r="E53" s="33" t="n">
        <v>5.78</v>
      </c>
      <c r="F53" s="33" t="inlineStr">
        <is>
          <t>MEDIUM</t>
        </is>
      </c>
      <c r="G53" s="33" t="inlineStr">
        <is>
          <t>inferred</t>
        </is>
      </c>
      <c r="H53" s="33" t="inlineStr">
        <is>
          <t>MANUAL REVIEW REQUIRED. Waterproofing: floor area + 150 mm upstand on walls for Toilet. Verify room dimensions and upstand height from architectural drawings.</t>
        </is>
      </c>
    </row>
    <row r="54">
      <c r="A54" s="33" t="inlineStr">
        <is>
          <t>I21</t>
        </is>
      </c>
      <c r="B54" s="33" t="inlineStr">
        <is>
          <t>50117</t>
        </is>
      </c>
      <c r="C54" s="33" t="inlineStr">
        <is>
          <t>Services | Builder's Works, Services</t>
        </is>
      </c>
      <c r="D54" s="33" t="inlineStr">
        <is>
          <t>item</t>
        </is>
      </c>
      <c r="E54" s="33" t="n">
        <v>1</v>
      </c>
      <c r="F54" s="33" t="inlineStr">
        <is>
          <t>LOW</t>
        </is>
      </c>
      <c r="G54" s="33" t="inlineStr">
        <is>
          <t>inferred</t>
        </is>
      </c>
      <c r="H54" s="33" t="inlineStr">
        <is>
          <t>MANUAL REVIEW REQUIRED. Inferred from room type 'store'.</t>
        </is>
      </c>
    </row>
    <row r="55">
      <c r="A55" s="33" t="inlineStr">
        <is>
          <t>I22</t>
        </is>
      </c>
      <c r="B55" s="33" t="inlineStr">
        <is>
          <t>50117</t>
        </is>
      </c>
      <c r="C55" s="33" t="inlineStr">
        <is>
          <t>Services | Air Conditioning / Mechanical (PLACEHOLDER)</t>
        </is>
      </c>
      <c r="D55" s="33" t="inlineStr">
        <is>
          <t>item</t>
        </is>
      </c>
      <c r="E55" s="33" t="n">
        <v>0</v>
      </c>
      <c r="F55" s="33" t="inlineStr">
        <is>
          <t>LOW</t>
        </is>
      </c>
      <c r="G55" s="33" t="inlineStr">
        <is>
          <t>placeholder</t>
        </is>
      </c>
      <c r="H55" s="33" t="inlineStr">
        <is>
          <t>MANUAL REVIEW REQUIRED. PLACEHOLDER. Commercial building in tropical climate likely requires split-system or cassette AC units. No mechanical schedule or equipment schedule in source documents. Obtain from mechanical engineer or building services consultant. Include: outdoor units, indoor units, refrigerant pipework, electrical supply, condensate drainage, ceiling penetrations.</t>
        </is>
      </c>
    </row>
    <row r="56">
      <c r="A56" s="33" t="inlineStr">
        <is>
          <t>I23</t>
        </is>
      </c>
      <c r="B56" s="33" t="inlineStr">
        <is>
          <t>50117</t>
        </is>
      </c>
      <c r="C56" s="33" t="inlineStr">
        <is>
          <t>Electrical | Exhaust Fan</t>
        </is>
      </c>
      <c r="D56" s="33" t="inlineStr">
        <is>
          <t>item</t>
        </is>
      </c>
      <c r="E56" s="33" t="n">
        <v>0</v>
      </c>
      <c r="F56" s="33" t="inlineStr">
        <is>
          <t>LOW</t>
        </is>
      </c>
      <c r="G56" s="33" t="inlineStr">
        <is>
          <t>placeholder</t>
        </is>
      </c>
      <c r="H56" s="33" t="inlineStr">
        <is>
          <t>MANUAL REVIEW REQUIRED. PLACEHOLDER. BCA F4.6 requires mechanical exhaust in rooms without openable windows. Confirm exhaust fan type, ducting, and external discharge location from architectural drawings.</t>
        </is>
      </c>
    </row>
    <row r="57">
      <c r="A57" s="33" t="inlineStr">
        <is>
          <t>I24</t>
        </is>
      </c>
      <c r="B57" s="33" t="inlineStr">
        <is>
          <t>50117</t>
        </is>
      </c>
      <c r="C57" s="33" t="inlineStr">
        <is>
          <t>Electrical | Main Switchboard / Distribution Board</t>
        </is>
      </c>
      <c r="D57" s="33" t="inlineStr">
        <is>
          <t>item</t>
        </is>
      </c>
      <c r="E57" s="33" t="n">
        <v>1</v>
      </c>
      <c r="F57" s="33" t="inlineStr">
        <is>
          <t>LOW</t>
        </is>
      </c>
      <c r="G57" s="33" t="inlineStr">
        <is>
          <t>inferred</t>
        </is>
      </c>
      <c r="H57" s="33" t="inlineStr">
        <is>
          <t>MANUAL REVIEW REQUIRED. 1 per building; adjust for sub-boards</t>
        </is>
      </c>
    </row>
    <row r="58">
      <c r="A58" s="33" t="inlineStr">
        <is>
          <t>I25</t>
        </is>
      </c>
      <c r="B58" s="33" t="inlineStr">
        <is>
          <t>50117</t>
        </is>
      </c>
      <c r="C58" s="33" t="inlineStr">
        <is>
          <t>Hydraulics | Main Water Meter / Stopcock</t>
        </is>
      </c>
      <c r="D58" s="33" t="inlineStr">
        <is>
          <t>item</t>
        </is>
      </c>
      <c r="E58" s="33" t="n">
        <v>1</v>
      </c>
      <c r="F58" s="33" t="inlineStr">
        <is>
          <t>LOW</t>
        </is>
      </c>
      <c r="G58" s="33" t="inlineStr">
        <is>
          <t>inferred</t>
        </is>
      </c>
      <c r="H58" s="33" t="inlineStr">
        <is>
          <t>MANUAL REVIEW REQUIRED. Whole-building service allowance.</t>
        </is>
      </c>
    </row>
    <row r="59">
      <c r="A59" s="33" t="inlineStr">
        <is>
          <t>I26</t>
        </is>
      </c>
      <c r="B59" s="33" t="inlineStr">
        <is>
          <t>50117</t>
        </is>
      </c>
      <c r="C59" s="33" t="inlineStr">
        <is>
          <t>Hydraulics | Hot Water System</t>
        </is>
      </c>
      <c r="D59" s="33" t="inlineStr">
        <is>
          <t>item</t>
        </is>
      </c>
      <c r="E59" s="33" t="n">
        <v>1</v>
      </c>
      <c r="F59" s="33" t="inlineStr">
        <is>
          <t>LOW</t>
        </is>
      </c>
      <c r="G59" s="33" t="inlineStr">
        <is>
          <t>inferred</t>
        </is>
      </c>
      <c r="H59" s="33" t="inlineStr">
        <is>
          <t>MANUAL REVIEW REQUIRED. only if not allocated to individual rooms</t>
        </is>
      </c>
    </row>
    <row r="60">
      <c r="A60" s="33" t="inlineStr">
        <is>
          <t>I27</t>
        </is>
      </c>
      <c r="B60" s="33" t="inlineStr">
        <is>
          <t>50117</t>
        </is>
      </c>
      <c r="C60" s="33" t="inlineStr">
        <is>
          <t>Electrical | Smoke Detector</t>
        </is>
      </c>
      <c r="D60" s="33" t="inlineStr">
        <is>
          <t>nr</t>
        </is>
      </c>
      <c r="E60" s="33" t="n">
        <v>3</v>
      </c>
      <c r="F60" s="33" t="inlineStr">
        <is>
          <t>LOW</t>
        </is>
      </c>
      <c r="G60" s="33" t="inlineStr">
        <is>
          <t>inferred</t>
        </is>
      </c>
      <c r="H60" s="33" t="inlineStr">
        <is>
          <t>MANUAL REVIEW REQUIRED. 1 per 40 m² floor area (indicative)</t>
        </is>
      </c>
    </row>
    <row r="61">
      <c r="A61" s="33" t="inlineStr">
        <is>
          <t>J01</t>
        </is>
      </c>
      <c r="B61" s="33" t="inlineStr">
        <is>
          <t>50124</t>
        </is>
      </c>
      <c r="C61" s="33" t="inlineStr">
        <is>
          <t>Stair | Stringer</t>
        </is>
      </c>
      <c r="D61" s="33" t="inlineStr">
        <is>
          <t>nr</t>
        </is>
      </c>
      <c r="E61" s="33" t="n">
        <v>1</v>
      </c>
      <c r="F61" s="33" t="inlineStr">
        <is>
          <t>LOW</t>
        </is>
      </c>
      <c r="G61" s="33" t="inlineStr">
        <is>
          <t>inferred</t>
        </is>
      </c>
      <c r="H61" s="33" t="inlineStr">
        <is>
          <t>MANUAL REVIEW REQUIRED. Entry stair — riser count estimated from raised floor height (~525mm). Verify from architectural drawings.</t>
        </is>
      </c>
    </row>
    <row r="62">
      <c r="A62" s="33" t="inlineStr">
        <is>
          <t>J02</t>
        </is>
      </c>
      <c r="B62" s="33" t="inlineStr">
        <is>
          <t>50124</t>
        </is>
      </c>
      <c r="C62" s="33" t="inlineStr">
        <is>
          <t>Stair | Tread</t>
        </is>
      </c>
      <c r="D62" s="33" t="inlineStr">
        <is>
          <t>nr</t>
        </is>
      </c>
      <c r="E62" s="33" t="n">
        <v>3</v>
      </c>
      <c r="F62" s="33" t="inlineStr">
        <is>
          <t>LOW</t>
        </is>
      </c>
      <c r="G62" s="33" t="inlineStr">
        <is>
          <t>inferred</t>
        </is>
      </c>
      <c r="H62" s="33" t="inlineStr">
        <is>
          <t>MANUAL REVIEW REQUIRED.</t>
        </is>
      </c>
    </row>
    <row r="63">
      <c r="A63" s="33" t="inlineStr">
        <is>
          <t>J04</t>
        </is>
      </c>
      <c r="B63" s="33" t="inlineStr">
        <is>
          <t>50124</t>
        </is>
      </c>
      <c r="C63" s="33" t="inlineStr">
        <is>
          <t>Balustrade | Assembly</t>
        </is>
      </c>
      <c r="D63" s="33" t="inlineStr">
        <is>
          <t>lm</t>
        </is>
      </c>
      <c r="E63" s="33" t="n">
        <v>0.75</v>
      </c>
      <c r="F63" s="33" t="inlineStr">
        <is>
          <t>LOW</t>
        </is>
      </c>
      <c r="G63" s="33" t="inlineStr">
        <is>
          <t>calculated</t>
        </is>
      </c>
      <c r="H63" s="33" t="inlineStr">
        <is>
          <t>MANUAL REVIEW REQUIRED. Verify length from architectural drawings.</t>
        </is>
      </c>
    </row>
    <row r="64">
      <c r="A64" s="33" t="inlineStr">
        <is>
          <t>J05</t>
        </is>
      </c>
      <c r="B64" s="33" t="inlineStr">
        <is>
          <t>50124</t>
        </is>
      </c>
      <c r="C64" s="33" t="inlineStr">
        <is>
          <t>Balustrade | Post</t>
        </is>
      </c>
      <c r="D64" s="33" t="inlineStr">
        <is>
          <t>nr</t>
        </is>
      </c>
      <c r="E64" s="33" t="n">
        <v>1</v>
      </c>
      <c r="F64" s="33" t="inlineStr">
        <is>
          <t>LOW</t>
        </is>
      </c>
      <c r="G64" s="33" t="inlineStr">
        <is>
          <t>calculated</t>
        </is>
      </c>
      <c r="H64" s="33" t="inlineStr">
        <is>
          <t>MANUAL REVIEW REQUIRED. 1 post per 1.2 m spacing. Verify from balustrade schedule.</t>
        </is>
      </c>
    </row>
    <row r="65">
      <c r="A65" s="33" t="inlineStr">
        <is>
          <t>J06</t>
        </is>
      </c>
      <c r="B65" s="33" t="inlineStr">
        <is>
          <t>50124</t>
        </is>
      </c>
      <c r="C65" s="33" t="inlineStr">
        <is>
          <t>Balustrade | Assembly</t>
        </is>
      </c>
      <c r="D65" s="33" t="inlineStr">
        <is>
          <t>m2</t>
        </is>
      </c>
      <c r="E65" s="33" t="n">
        <v>0.75</v>
      </c>
      <c r="F65" s="33" t="inlineStr">
        <is>
          <t>LOW</t>
        </is>
      </c>
      <c r="G65" s="33" t="inlineStr">
        <is>
          <t>inferred</t>
        </is>
      </c>
      <c r="H65" s="33" t="inlineStr">
        <is>
          <t>MANUAL REVIEW REQUIRED. Infill height assumed 1.0 m. Adjust for guard height requirement (≥1.0 m at &gt;1.0 m fall).</t>
        </is>
      </c>
    </row>
    <row r="66">
      <c r="A66" s="33" t="inlineStr">
        <is>
          <t>J07</t>
        </is>
      </c>
      <c r="B66" s="33" t="inlineStr">
        <is>
          <t>50124</t>
        </is>
      </c>
      <c r="C66" s="33" t="inlineStr">
        <is>
          <t>Balustrade | Handrail</t>
        </is>
      </c>
      <c r="D66" s="33" t="inlineStr">
        <is>
          <t>lm</t>
        </is>
      </c>
      <c r="E66" s="33" t="n">
        <v>0.75</v>
      </c>
      <c r="F66" s="33" t="inlineStr">
        <is>
          <t>LOW</t>
        </is>
      </c>
      <c r="G66" s="33" t="inlineStr">
        <is>
          <t>calculated</t>
        </is>
      </c>
      <c r="H66" s="33" t="inlineStr">
        <is>
          <t>MANUAL REVIEW REQUIRED. Verify handrail length. Continuous rail both sides of flight where required by code.</t>
        </is>
      </c>
    </row>
    <row r="67">
      <c r="A67" s="33" t="inlineStr">
        <is>
          <t>J08</t>
        </is>
      </c>
      <c r="B67" s="33" t="inlineStr">
        <is>
          <t>50124</t>
        </is>
      </c>
      <c r="C67" s="33" t="inlineStr">
        <is>
          <t>Access Ramp | Surface, Concrete / Non-slip</t>
        </is>
      </c>
      <c r="D67" s="33" t="inlineStr">
        <is>
          <t>m2</t>
        </is>
      </c>
      <c r="E67" s="33" t="n">
        <v>8.82</v>
      </c>
      <c r="F67" s="33" t="inlineStr">
        <is>
          <t>LOW</t>
        </is>
      </c>
      <c r="G67" s="33" t="inlineStr">
        <is>
          <t>inferred</t>
        </is>
      </c>
      <c r="H67" s="33" t="inlineStr">
        <is>
          <t>MANUAL REVIEW REQUIRED. Access ramp: 1:14 gradient, stair: 3 risers × 175 mm = 525 mm → 7.35 m run × 1.2 m wide = 8.82 m². Verify need and exact dimensions from architectural drawings and BCA D3.3.</t>
        </is>
      </c>
    </row>
    <row r="68">
      <c r="A68" s="33" t="inlineStr">
        <is>
          <t>J09</t>
        </is>
      </c>
      <c r="B68" s="33" t="inlineStr">
        <is>
          <t>50124</t>
        </is>
      </c>
      <c r="C68" s="33" t="inlineStr">
        <is>
          <t>Access Ramp | (type by design)</t>
        </is>
      </c>
      <c r="D68" s="33" t="inlineStr">
        <is>
          <t>lm</t>
        </is>
      </c>
      <c r="E68" s="33" t="n">
        <v>14.7</v>
      </c>
      <c r="F68" s="33" t="inlineStr">
        <is>
          <t>LOW</t>
        </is>
      </c>
      <c r="G68" s="33" t="inlineStr">
        <is>
          <t>inferred</t>
        </is>
      </c>
      <c r="H68" s="33" t="inlineStr">
        <is>
          <t>MANUAL REVIEW REQUIRED. Continuous handrails both sides of ramp. Verify height and spec from architectural drawings.</t>
        </is>
      </c>
    </row>
    <row r="69">
      <c r="A69" s="33" t="inlineStr">
        <is>
          <t>J10</t>
        </is>
      </c>
      <c r="B69" s="33" t="inlineStr">
        <is>
          <t>50124</t>
        </is>
      </c>
      <c r="C69" s="33" t="inlineStr">
        <is>
          <t>Access Ramp | Edge Kerb / Guard</t>
        </is>
      </c>
      <c r="D69" s="33" t="inlineStr">
        <is>
          <t>lm</t>
        </is>
      </c>
      <c r="E69" s="33" t="n">
        <v>14.7</v>
      </c>
      <c r="F69" s="33" t="inlineStr">
        <is>
          <t>LOW</t>
        </is>
      </c>
      <c r="G69" s="33" t="inlineStr">
        <is>
          <t>inferred</t>
        </is>
      </c>
      <c r="H69" s="33" t="inlineStr">
        <is>
          <t>MANUAL REVIEW REQUIRED. Kerb guard (min 75 mm high) both sides. Verify from architectural drawings.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34" t="inlineStr">
        <is>
          <t>QA SUMMARY REPORT</t>
        </is>
      </c>
    </row>
    <row r="3">
      <c r="A3" s="35" t="inlineStr">
        <is>
          <t>QUANTITY PROVENANCE</t>
        </is>
      </c>
    </row>
    <row r="4">
      <c r="A4" t="inlineStr">
        <is>
          <t>Total Items</t>
        </is>
      </c>
      <c r="B4" t="n">
        <v>171</v>
      </c>
    </row>
    <row r="5">
      <c r="A5" t="inlineStr">
        <is>
          <t>Measured</t>
        </is>
      </c>
      <c r="B5" t="n">
        <v>20</v>
      </c>
    </row>
    <row r="6">
      <c r="A6" t="inlineStr">
        <is>
          <t>Calculated</t>
        </is>
      </c>
      <c r="B6" t="n">
        <v>106</v>
      </c>
    </row>
    <row r="7">
      <c r="A7" t="inlineStr">
        <is>
          <t>Inferred</t>
        </is>
      </c>
      <c r="B7" t="n">
        <v>40</v>
      </c>
    </row>
    <row r="8">
      <c r="A8" t="inlineStr">
        <is>
          <t>Placeholder</t>
        </is>
      </c>
      <c r="B8" t="n">
        <v>5</v>
      </c>
    </row>
    <row r="9">
      <c r="A9" t="inlineStr">
        <is>
          <t>Manual Review</t>
        </is>
      </c>
      <c r="B9" t="n">
        <v>68</v>
      </c>
    </row>
    <row r="11">
      <c r="A11" s="35" t="inlineStr">
        <is>
          <t>CONFIDENCE BREAKDOWN</t>
        </is>
      </c>
    </row>
    <row r="12">
      <c r="A12" t="inlineStr">
        <is>
          <t>HIGH</t>
        </is>
      </c>
      <c r="B12" t="n">
        <v>30</v>
      </c>
      <c r="C12" t="inlineStr">
        <is>
          <t>17.5%</t>
        </is>
      </c>
    </row>
    <row r="13">
      <c r="A13" t="inlineStr">
        <is>
          <t>MEDIUM</t>
        </is>
      </c>
      <c r="B13" t="n">
        <v>81</v>
      </c>
      <c r="C13" t="inlineStr">
        <is>
          <t>47.4%</t>
        </is>
      </c>
    </row>
    <row r="14">
      <c r="A14" t="inlineStr">
        <is>
          <t>LOW</t>
        </is>
      </c>
      <c r="B14" t="n">
        <v>60</v>
      </c>
      <c r="C14" t="inlineStr">
        <is>
          <t>35.1%</t>
        </is>
      </c>
    </row>
    <row r="16">
      <c r="A16" s="35" t="inlineStr">
        <is>
          <t>PACKAGE COMPLETENESS (V3 sections)</t>
        </is>
      </c>
    </row>
    <row r="17">
      <c r="A17" s="35" t="inlineStr">
        <is>
          <t>Package</t>
        </is>
      </c>
      <c r="B17" s="35" t="inlineStr">
        <is>
          <t>Status</t>
        </is>
      </c>
      <c r="C17" s="35" t="inlineStr">
        <is>
          <t>Items</t>
        </is>
      </c>
      <c r="D17" s="35" t="inlineStr">
        <is>
          <t>Measured</t>
        </is>
      </c>
      <c r="E17" s="35" t="inlineStr">
        <is>
          <t>Calculated</t>
        </is>
      </c>
      <c r="F17" s="35" t="inlineStr">
        <is>
          <t>Inferred</t>
        </is>
      </c>
      <c r="G17" s="35" t="inlineStr">
        <is>
          <t>Placeholder</t>
        </is>
      </c>
    </row>
    <row r="18">
      <c r="A18" t="inlineStr">
        <is>
          <t>structural_frame</t>
        </is>
      </c>
      <c r="B18" t="inlineStr">
        <is>
          <t>OK</t>
        </is>
      </c>
      <c r="C18" t="n">
        <v>7</v>
      </c>
      <c r="D18" t="n">
        <v>7</v>
      </c>
      <c r="E18" t="n">
        <v>0</v>
      </c>
      <c r="F18" t="n">
        <v>0</v>
      </c>
      <c r="G18" t="n">
        <v>0</v>
      </c>
    </row>
    <row r="19">
      <c r="A19" t="inlineStr">
        <is>
          <t>roof_cladding</t>
        </is>
      </c>
      <c r="B19" t="inlineStr">
        <is>
          <t>OK</t>
        </is>
      </c>
      <c r="C19" t="n">
        <v>3</v>
      </c>
      <c r="D19" t="n">
        <v>0</v>
      </c>
      <c r="E19" t="n">
        <v>3</v>
      </c>
      <c r="F19" t="n">
        <v>0</v>
      </c>
      <c r="G19" t="n">
        <v>0</v>
      </c>
    </row>
    <row r="20">
      <c r="A20" t="inlineStr">
        <is>
          <t>openings_doors</t>
        </is>
      </c>
      <c r="B20" t="inlineStr">
        <is>
          <t>OK</t>
        </is>
      </c>
      <c r="C20" t="n">
        <v>5</v>
      </c>
      <c r="D20" t="n">
        <v>3</v>
      </c>
      <c r="E20" t="n">
        <v>2</v>
      </c>
      <c r="F20" t="n">
        <v>0</v>
      </c>
      <c r="G20" t="n">
        <v>0</v>
      </c>
    </row>
    <row r="21">
      <c r="A21" t="inlineStr">
        <is>
          <t>openings_windows</t>
        </is>
      </c>
      <c r="B21" t="inlineStr">
        <is>
          <t>OK</t>
        </is>
      </c>
      <c r="C21" t="n">
        <v>12</v>
      </c>
      <c r="D21" t="n">
        <v>3</v>
      </c>
      <c r="E21" t="n">
        <v>9</v>
      </c>
      <c r="F21" t="n">
        <v>0</v>
      </c>
      <c r="G21" t="n">
        <v>0</v>
      </c>
    </row>
    <row r="22">
      <c r="A22" t="inlineStr">
        <is>
          <t>wall_lining_external</t>
        </is>
      </c>
      <c r="B22" t="inlineStr">
        <is>
          <t>OK</t>
        </is>
      </c>
      <c r="C22" t="n">
        <v>2</v>
      </c>
      <c r="D22" t="n">
        <v>0</v>
      </c>
      <c r="E22" t="n">
        <v>2</v>
      </c>
      <c r="F22" t="n">
        <v>0</v>
      </c>
      <c r="G22" t="n">
        <v>0</v>
      </c>
    </row>
    <row r="23">
      <c r="A23" t="inlineStr">
        <is>
          <t>wall_lining_internal</t>
        </is>
      </c>
      <c r="B23" t="inlineStr">
        <is>
          <t>OK</t>
        </is>
      </c>
      <c r="C23" t="n">
        <v>3</v>
      </c>
      <c r="D23" t="n">
        <v>0</v>
      </c>
      <c r="E23" t="n">
        <v>3</v>
      </c>
      <c r="F23" t="n">
        <v>0</v>
      </c>
      <c r="G23" t="n">
        <v>0</v>
      </c>
    </row>
    <row r="24">
      <c r="A24" t="inlineStr">
        <is>
          <t>ceiling_lining</t>
        </is>
      </c>
      <c r="B24" t="inlineStr">
        <is>
          <t>OK</t>
        </is>
      </c>
      <c r="C24" t="n">
        <v>5</v>
      </c>
      <c r="D24" t="n">
        <v>0</v>
      </c>
      <c r="E24" t="n">
        <v>5</v>
      </c>
      <c r="F24" t="n">
        <v>0</v>
      </c>
      <c r="G24" t="n">
        <v>0</v>
      </c>
    </row>
    <row r="25">
      <c r="A25" t="inlineStr">
        <is>
          <t>finishes</t>
        </is>
      </c>
      <c r="B25" t="inlineStr">
        <is>
          <t>OK</t>
        </is>
      </c>
      <c r="C25" t="n">
        <v>4</v>
      </c>
      <c r="D25" t="n">
        <v>0</v>
      </c>
      <c r="E25" t="n">
        <v>4</v>
      </c>
      <c r="F25" t="n">
        <v>0</v>
      </c>
      <c r="G25" t="n">
        <v>0</v>
      </c>
    </row>
    <row r="26">
      <c r="A26" t="inlineStr">
        <is>
          <t>floor_system</t>
        </is>
      </c>
      <c r="B26" t="inlineStr">
        <is>
          <t>UNCONFIRMED</t>
        </is>
      </c>
      <c r="C26" t="n">
        <v>7</v>
      </c>
      <c r="D26" t="n">
        <v>0</v>
      </c>
      <c r="E26" t="n">
        <v>2</v>
      </c>
      <c r="F26" t="n">
        <v>5</v>
      </c>
      <c r="G26" t="n">
        <v>0</v>
      </c>
    </row>
    <row r="27">
      <c r="A27" t="inlineStr">
        <is>
          <t>footings</t>
        </is>
      </c>
      <c r="B27" t="inlineStr">
        <is>
          <t>OK</t>
        </is>
      </c>
      <c r="C27" t="n">
        <v>8</v>
      </c>
      <c r="D27" t="n">
        <v>1</v>
      </c>
      <c r="E27" t="n">
        <v>6</v>
      </c>
      <c r="F27" t="n">
        <v>0</v>
      </c>
      <c r="G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27</v>
      </c>
      <c r="D28" t="n">
        <v>0</v>
      </c>
      <c r="E28" t="n">
        <v>0</v>
      </c>
      <c r="F28" t="n">
        <v>25</v>
      </c>
      <c r="G28" t="n">
        <v>2</v>
      </c>
    </row>
    <row r="29">
      <c r="A29" t="inlineStr">
        <is>
          <t>insulation</t>
        </is>
      </c>
      <c r="B29" t="inlineStr">
        <is>
          <t>OK</t>
        </is>
      </c>
      <c r="C29" t="n">
        <v>2</v>
      </c>
      <c r="D29" t="n">
        <v>0</v>
      </c>
      <c r="E29" t="n">
        <v>2</v>
      </c>
      <c r="F29" t="n">
        <v>0</v>
      </c>
      <c r="G29" t="n">
        <v>0</v>
      </c>
    </row>
    <row r="31">
      <c r="A31" s="35" t="inlineStr">
        <is>
          <t>WARNINGS / ISSUES</t>
        </is>
      </c>
    </row>
    <row r="32">
      <c r="A32" t="inlineStr">
        <is>
          <t>Template contamination check: PASSED — no BOQ template quantities detected.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34" t="inlineStr">
        <is>
          <t>SOURCE SUMMARY</t>
        </is>
      </c>
    </row>
    <row r="3">
      <c r="A3" s="35" t="inlineStr">
        <is>
          <t>Input Files</t>
        </is>
      </c>
    </row>
    <row r="4">
      <c r="A4" t="inlineStr">
        <is>
          <t>ANGAU PHARMACY 01_arch.dxf</t>
        </is>
      </c>
    </row>
    <row r="5">
      <c r="A5" t="inlineStr">
        <is>
          <t>Angau Pharmacy.ifc</t>
        </is>
      </c>
    </row>
    <row r="6">
      <c r="A6" t="inlineStr">
        <is>
          <t>Angau Pharmacy Summary.pdf</t>
        </is>
      </c>
    </row>
    <row r="8">
      <c r="A8" s="35" t="inlineStr">
        <is>
          <t>Quantity Status Breakdown by Source</t>
        </is>
      </c>
    </row>
    <row r="9">
      <c r="A9" t="inlineStr">
        <is>
          <t>building_type=pharmacy</t>
        </is>
      </c>
      <c r="B9" t="n">
        <v>2</v>
      </c>
    </row>
    <row r="10">
      <c r="A10" t="inlineStr">
        <is>
          <t>ceiling_area=64.80</t>
        </is>
      </c>
      <c r="B10" t="n">
        <v>1</v>
      </c>
    </row>
    <row r="11">
      <c r="A11" t="inlineStr">
        <is>
          <t>config room_schedule</t>
        </is>
      </c>
      <c r="B11" t="n">
        <v>2</v>
      </c>
    </row>
    <row r="12">
      <c r="A12" t="inlineStr">
        <is>
          <t>derived</t>
        </is>
      </c>
      <c r="B12" t="n">
        <v>11</v>
      </c>
    </row>
    <row r="13">
      <c r="A13" t="inlineStr">
        <is>
          <t>derived from clip count</t>
        </is>
      </c>
      <c r="B13" t="n">
        <v>1</v>
      </c>
    </row>
    <row r="14">
      <c r="A14" t="inlineStr">
        <is>
          <t>derived from project_config</t>
        </is>
      </c>
      <c r="B14" t="n">
        <v>1</v>
      </c>
    </row>
    <row r="15">
      <c r="A15" t="inlineStr">
        <is>
          <t>derived from ramp run</t>
        </is>
      </c>
      <c r="B15" t="n">
        <v>2</v>
      </c>
    </row>
    <row r="16">
      <c r="A16" t="inlineStr">
        <is>
          <t>derived_steel_floor</t>
        </is>
      </c>
      <c r="B16" t="n">
        <v>3</v>
      </c>
    </row>
    <row r="17">
      <c r="A17" t="inlineStr">
        <is>
          <t>dxf_blocks</t>
        </is>
      </c>
      <c r="B17" t="n">
        <v>45</v>
      </c>
    </row>
    <row r="18">
      <c r="A18" t="inlineStr">
        <is>
          <t>dxf_geometry</t>
        </is>
      </c>
      <c r="B18" t="n">
        <v>42</v>
      </c>
    </row>
    <row r="19">
      <c r="A19" t="inlineStr">
        <is>
          <t>ext_walls</t>
        </is>
      </c>
      <c r="B19" t="n">
        <v>1</v>
      </c>
    </row>
    <row r="20">
      <c r="A20" t="inlineStr">
        <is>
          <t>floor_area=86.40</t>
        </is>
      </c>
      <c r="B20" t="n">
        <v>4</v>
      </c>
    </row>
    <row r="21">
      <c r="A21" t="inlineStr">
        <is>
          <t>framecad_bom</t>
        </is>
      </c>
      <c r="B21" t="n">
        <v>14</v>
      </c>
    </row>
    <row r="22">
      <c r="A22" t="inlineStr">
        <is>
          <t>framecad_dwg</t>
        </is>
      </c>
      <c r="B22" t="n">
        <v>5</v>
      </c>
    </row>
    <row r="23">
      <c r="A23" t="inlineStr">
        <is>
          <t>framecad_dwg+dxf_geometry</t>
        </is>
      </c>
      <c r="B23" t="n">
        <v>2</v>
      </c>
    </row>
    <row r="24">
      <c r="A24" t="inlineStr">
        <is>
          <t>ifc_model</t>
        </is>
      </c>
      <c r="B24" t="n">
        <v>3</v>
      </c>
    </row>
    <row r="25">
      <c r="A25" t="inlineStr">
        <is>
          <t>no</t>
        </is>
      </c>
      <c r="B25" t="n">
        <v>3</v>
      </c>
    </row>
    <row r="26">
      <c r="A26" t="inlineStr">
        <is>
          <t>project_config</t>
        </is>
      </c>
      <c r="B26" t="n">
        <v>7</v>
      </c>
    </row>
    <row r="27">
      <c r="A27" t="inlineStr">
        <is>
          <t>room</t>
        </is>
      </c>
      <c r="B27" t="n">
        <v>2</v>
      </c>
    </row>
    <row r="28">
      <c r="A28" t="inlineStr">
        <is>
          <t>room_schedule</t>
        </is>
      </c>
      <c r="B28" t="n">
        <v>19</v>
      </c>
    </row>
    <row r="29">
      <c r="A29" t="inlineStr">
        <is>
          <t>rooms=['Toilet']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2026-03-26T05:19:38Z</dcterms:created>
  <dcterms:modified xsi:type="dcterms:W3CDTF">2026-03-26T05:19:39Z</dcterms:modified>
</cp:coreProperties>
</file>