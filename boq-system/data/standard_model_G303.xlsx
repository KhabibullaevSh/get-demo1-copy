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ndard BOQ" sheetId="1" state="visible" r:id="rId1"/>
    <sheet name="Standard Geometry" sheetId="2" state="visible" r:id="rId2"/>
    <sheet name="Rules Libr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 No</t>
        </is>
      </c>
      <c r="B1" s="1" t="inlineStr">
        <is>
          <t>Stock Code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Qty</t>
        </is>
      </c>
      <c r="F1" s="1" t="inlineStr">
        <is>
          <t>Rate</t>
        </is>
      </c>
      <c r="G1" s="1" t="inlineStr">
        <is>
          <t>Amount</t>
        </is>
      </c>
      <c r="H1" s="1" t="inlineStr">
        <is>
          <t>Category</t>
        </is>
      </c>
      <c r="I1" s="1" t="inlineStr">
        <is>
          <t>Notes</t>
        </is>
      </c>
    </row>
    <row r="2">
      <c r="A2" s="2" t="n">
        <v>1</v>
      </c>
      <c r="B2" s="2" t="inlineStr">
        <is>
          <t>STR-001</t>
        </is>
      </c>
      <c r="C2" s="2" t="inlineStr">
        <is>
          <t>Steel post 100x100x3.0mm x 3000mm</t>
        </is>
      </c>
      <c r="D2" s="2" t="inlineStr">
        <is>
          <t>no</t>
        </is>
      </c>
      <c r="E2" s="2" t="n">
        <v>12</v>
      </c>
      <c r="F2" s="2" t="n">
        <v>285</v>
      </c>
      <c r="G2" s="2">
        <f>E2*F2</f>
        <v/>
      </c>
      <c r="H2" s="2" t="inlineStr">
        <is>
          <t>Structure</t>
        </is>
      </c>
      <c r="I2" s="2" t="inlineStr"/>
    </row>
    <row r="3">
      <c r="A3" s="2" t="n">
        <v>2</v>
      </c>
      <c r="B3" s="2" t="inlineStr">
        <is>
          <t>STR-002</t>
        </is>
      </c>
      <c r="C3" s="2" t="inlineStr">
        <is>
          <t>Steel bearer 200x75x3.0mm</t>
        </is>
      </c>
      <c r="D3" s="2" t="inlineStr">
        <is>
          <t>lm</t>
        </is>
      </c>
      <c r="E3" s="2" t="n">
        <v>45</v>
      </c>
      <c r="F3" s="2" t="n">
        <v>125</v>
      </c>
      <c r="G3" s="2">
        <f>E3*F3</f>
        <v/>
      </c>
      <c r="H3" s="2" t="inlineStr">
        <is>
          <t>Structure</t>
        </is>
      </c>
      <c r="I3" s="2" t="inlineStr"/>
    </row>
    <row r="4">
      <c r="A4" s="2" t="n">
        <v>3</v>
      </c>
      <c r="B4" s="2" t="inlineStr">
        <is>
          <t>STR-003</t>
        </is>
      </c>
      <c r="C4" s="2" t="inlineStr">
        <is>
          <t>Steel joist 150x50x1.6mm</t>
        </is>
      </c>
      <c r="D4" s="2" t="inlineStr">
        <is>
          <t>lm</t>
        </is>
      </c>
      <c r="E4" s="2" t="n">
        <v>120</v>
      </c>
      <c r="F4" s="2" t="n">
        <v>78</v>
      </c>
      <c r="G4" s="2">
        <f>E4*F4</f>
        <v/>
      </c>
      <c r="H4" s="2" t="inlineStr">
        <is>
          <t>Structure</t>
        </is>
      </c>
      <c r="I4" s="2" t="inlineStr"/>
    </row>
    <row r="5">
      <c r="A5" s="2" t="n">
        <v>4</v>
      </c>
      <c r="B5" s="2" t="inlineStr">
        <is>
          <t>STR-004</t>
        </is>
      </c>
      <c r="C5" s="2" t="inlineStr">
        <is>
          <t>Concrete footing pad 600x600x300</t>
        </is>
      </c>
      <c r="D5" s="2" t="inlineStr">
        <is>
          <t>no</t>
        </is>
      </c>
      <c r="E5" s="2" t="n">
        <v>12</v>
      </c>
      <c r="F5" s="2" t="n">
        <v>165</v>
      </c>
      <c r="G5" s="2">
        <f>E5*F5</f>
        <v/>
      </c>
      <c r="H5" s="2" t="inlineStr">
        <is>
          <t>Structure</t>
        </is>
      </c>
      <c r="I5" s="2" t="inlineStr"/>
    </row>
    <row r="6">
      <c r="A6" s="2" t="n">
        <v>5</v>
      </c>
      <c r="B6" s="2" t="inlineStr">
        <is>
          <t>STR-005</t>
        </is>
      </c>
      <c r="C6" s="2" t="inlineStr">
        <is>
          <t>Post stirrup bracket galvanised</t>
        </is>
      </c>
      <c r="D6" s="2" t="inlineStr">
        <is>
          <t>no</t>
        </is>
      </c>
      <c r="E6" s="2" t="n">
        <v>12</v>
      </c>
      <c r="F6" s="2" t="n">
        <v>45</v>
      </c>
      <c r="G6" s="2">
        <f>E6*F6</f>
        <v/>
      </c>
      <c r="H6" s="2" t="inlineStr">
        <is>
          <t>Structure</t>
        </is>
      </c>
      <c r="I6" s="2" t="inlineStr"/>
    </row>
    <row r="7">
      <c r="A7" s="2" t="n">
        <v>6</v>
      </c>
      <c r="B7" s="2" t="inlineStr">
        <is>
          <t>STR-006</t>
        </is>
      </c>
      <c r="C7" s="2" t="inlineStr">
        <is>
          <t>Bearer bolt M16x200mm galvanised</t>
        </is>
      </c>
      <c r="D7" s="2" t="inlineStr">
        <is>
          <t>no</t>
        </is>
      </c>
      <c r="E7" s="2" t="n">
        <v>48</v>
      </c>
      <c r="F7" s="2" t="n">
        <v>12.5</v>
      </c>
      <c r="G7" s="2">
        <f>E7*F7</f>
        <v/>
      </c>
      <c r="H7" s="2" t="inlineStr">
        <is>
          <t>Structure</t>
        </is>
      </c>
      <c r="I7" s="2" t="inlineStr"/>
    </row>
    <row r="8">
      <c r="A8" s="2" t="n">
        <v>7</v>
      </c>
      <c r="B8" s="2" t="inlineStr">
        <is>
          <t>ROF-001</t>
        </is>
      </c>
      <c r="C8" s="2" t="inlineStr">
        <is>
          <t>Roof sheet Colorbond 0.42mm custom length</t>
        </is>
      </c>
      <c r="D8" s="2" t="inlineStr">
        <is>
          <t>lm</t>
        </is>
      </c>
      <c r="E8" s="2" t="n">
        <v>85</v>
      </c>
      <c r="F8" s="2" t="n">
        <v>42</v>
      </c>
      <c r="G8" s="2">
        <f>E8*F8</f>
        <v/>
      </c>
      <c r="H8" s="2" t="inlineStr">
        <is>
          <t>Roof</t>
        </is>
      </c>
      <c r="I8" s="2" t="inlineStr"/>
    </row>
    <row r="9">
      <c r="A9" s="2" t="n">
        <v>8</v>
      </c>
      <c r="B9" s="2" t="inlineStr">
        <is>
          <t>ROF-002</t>
        </is>
      </c>
      <c r="C9" s="2" t="inlineStr">
        <is>
          <t>Roof batten C-section 35x45x0.55mm</t>
        </is>
      </c>
      <c r="D9" s="2" t="inlineStr">
        <is>
          <t>lm</t>
        </is>
      </c>
      <c r="E9" s="2" t="n">
        <v>180</v>
      </c>
      <c r="F9" s="2" t="n">
        <v>18.5</v>
      </c>
      <c r="G9" s="2">
        <f>E9*F9</f>
        <v/>
      </c>
      <c r="H9" s="2" t="inlineStr">
        <is>
          <t>Roof</t>
        </is>
      </c>
      <c r="I9" s="2" t="inlineStr"/>
    </row>
    <row r="10">
      <c r="A10" s="2" t="n">
        <v>9</v>
      </c>
      <c r="B10" s="2" t="inlineStr">
        <is>
          <t>ROF-003</t>
        </is>
      </c>
      <c r="C10" s="2" t="inlineStr">
        <is>
          <t>Roof underlay sarking 1500mm wide</t>
        </is>
      </c>
      <c r="D10" s="2" t="inlineStr">
        <is>
          <t>m2</t>
        </is>
      </c>
      <c r="E10" s="2" t="n">
        <v>145</v>
      </c>
      <c r="F10" s="2" t="n">
        <v>8.5</v>
      </c>
      <c r="G10" s="2">
        <f>E10*F10</f>
        <v/>
      </c>
      <c r="H10" s="2" t="inlineStr">
        <is>
          <t>Roof</t>
        </is>
      </c>
      <c r="I10" s="2" t="inlineStr"/>
    </row>
    <row r="11">
      <c r="A11" s="2" t="n">
        <v>10</v>
      </c>
      <c r="B11" s="2" t="inlineStr">
        <is>
          <t>ROF-004</t>
        </is>
      </c>
      <c r="C11" s="2" t="inlineStr">
        <is>
          <t>Ridge capping Colorbond</t>
        </is>
      </c>
      <c r="D11" s="2" t="inlineStr">
        <is>
          <t>lm</t>
        </is>
      </c>
      <c r="E11" s="2" t="n">
        <v>12</v>
      </c>
      <c r="F11" s="2" t="n">
        <v>35</v>
      </c>
      <c r="G11" s="2">
        <f>E11*F11</f>
        <v/>
      </c>
      <c r="H11" s="2" t="inlineStr">
        <is>
          <t>Roof</t>
        </is>
      </c>
      <c r="I11" s="2" t="inlineStr"/>
    </row>
    <row r="12">
      <c r="A12" s="2" t="n">
        <v>11</v>
      </c>
      <c r="B12" s="2" t="inlineStr">
        <is>
          <t>ROF-005</t>
        </is>
      </c>
      <c r="C12" s="2" t="inlineStr">
        <is>
          <t>Barge board Colorbond</t>
        </is>
      </c>
      <c r="D12" s="2" t="inlineStr">
        <is>
          <t>lm</t>
        </is>
      </c>
      <c r="E12" s="2" t="n">
        <v>24</v>
      </c>
      <c r="F12" s="2" t="n">
        <v>28</v>
      </c>
      <c r="G12" s="2">
        <f>E12*F12</f>
        <v/>
      </c>
      <c r="H12" s="2" t="inlineStr">
        <is>
          <t>Roof</t>
        </is>
      </c>
      <c r="I12" s="2" t="inlineStr"/>
    </row>
    <row r="13">
      <c r="A13" s="2" t="n">
        <v>12</v>
      </c>
      <c r="B13" s="2" t="inlineStr">
        <is>
          <t>ROF-006</t>
        </is>
      </c>
      <c r="C13" s="2" t="inlineStr">
        <is>
          <t>Fascia board Colorbond</t>
        </is>
      </c>
      <c r="D13" s="2" t="inlineStr">
        <is>
          <t>lm</t>
        </is>
      </c>
      <c r="E13" s="2" t="n">
        <v>36</v>
      </c>
      <c r="F13" s="2" t="n">
        <v>25</v>
      </c>
      <c r="G13" s="2">
        <f>E13*F13</f>
        <v/>
      </c>
      <c r="H13" s="2" t="inlineStr">
        <is>
          <t>Roof</t>
        </is>
      </c>
      <c r="I13" s="2" t="inlineStr"/>
    </row>
    <row r="14">
      <c r="A14" s="2" t="n">
        <v>13</v>
      </c>
      <c r="B14" s="2" t="inlineStr">
        <is>
          <t>ROF-007</t>
        </is>
      </c>
      <c r="C14" s="2" t="inlineStr">
        <is>
          <t>Gutter quad 115mm Colorbond</t>
        </is>
      </c>
      <c r="D14" s="2" t="inlineStr">
        <is>
          <t>lm</t>
        </is>
      </c>
      <c r="E14" s="2" t="n">
        <v>36</v>
      </c>
      <c r="F14" s="2" t="n">
        <v>22</v>
      </c>
      <c r="G14" s="2">
        <f>E14*F14</f>
        <v/>
      </c>
      <c r="H14" s="2" t="inlineStr">
        <is>
          <t>Roof</t>
        </is>
      </c>
      <c r="I14" s="2" t="inlineStr"/>
    </row>
    <row r="15">
      <c r="A15" s="2" t="n">
        <v>14</v>
      </c>
      <c r="B15" s="2" t="inlineStr">
        <is>
          <t>ROF-008</t>
        </is>
      </c>
      <c r="C15" s="2" t="inlineStr">
        <is>
          <t>Downpipe 90mm Colorbond</t>
        </is>
      </c>
      <c r="D15" s="2" t="inlineStr">
        <is>
          <t>lm</t>
        </is>
      </c>
      <c r="E15" s="2" t="n">
        <v>18</v>
      </c>
      <c r="F15" s="2" t="n">
        <v>18</v>
      </c>
      <c r="G15" s="2">
        <f>E15*F15</f>
        <v/>
      </c>
      <c r="H15" s="2" t="inlineStr">
        <is>
          <t>Roof</t>
        </is>
      </c>
      <c r="I15" s="2" t="inlineStr"/>
    </row>
    <row r="16">
      <c r="A16" s="2" t="n">
        <v>15</v>
      </c>
      <c r="B16" s="2" t="inlineStr">
        <is>
          <t>ROF-009</t>
        </is>
      </c>
      <c r="C16" s="2" t="inlineStr">
        <is>
          <t>Roof screw 12-14x50mm Type 17</t>
        </is>
      </c>
      <c r="D16" s="2" t="inlineStr">
        <is>
          <t>no</t>
        </is>
      </c>
      <c r="E16" s="2" t="n">
        <v>850</v>
      </c>
      <c r="F16" s="2" t="n">
        <v>0.45</v>
      </c>
      <c r="G16" s="2">
        <f>E16*F16</f>
        <v/>
      </c>
      <c r="H16" s="2" t="inlineStr">
        <is>
          <t>Roof</t>
        </is>
      </c>
      <c r="I16" s="2" t="inlineStr"/>
    </row>
    <row r="17">
      <c r="A17" s="2" t="n">
        <v>16</v>
      </c>
      <c r="B17" s="2" t="inlineStr">
        <is>
          <t>ROF-010</t>
        </is>
      </c>
      <c r="C17" s="2" t="inlineStr">
        <is>
          <t>Roof insulation R2.5 batts</t>
        </is>
      </c>
      <c r="D17" s="2" t="inlineStr">
        <is>
          <t>m2</t>
        </is>
      </c>
      <c r="E17" s="2" t="n">
        <v>130</v>
      </c>
      <c r="F17" s="2" t="n">
        <v>14</v>
      </c>
      <c r="G17" s="2">
        <f>E17*F17</f>
        <v/>
      </c>
      <c r="H17" s="2" t="inlineStr">
        <is>
          <t>Roof</t>
        </is>
      </c>
      <c r="I17" s="2" t="inlineStr"/>
    </row>
    <row r="18">
      <c r="A18" s="2" t="n">
        <v>17</v>
      </c>
      <c r="B18" s="2" t="inlineStr">
        <is>
          <t>WAL-001</t>
        </is>
      </c>
      <c r="C18" s="2" t="inlineStr">
        <is>
          <t>Wall frame C-section 75x32x0.75mm</t>
        </is>
      </c>
      <c r="D18" s="2" t="inlineStr">
        <is>
          <t>lm</t>
        </is>
      </c>
      <c r="E18" s="2" t="n">
        <v>210</v>
      </c>
      <c r="F18" s="2" t="n">
        <v>22</v>
      </c>
      <c r="G18" s="2">
        <f>E18*F18</f>
        <v/>
      </c>
      <c r="H18" s="2" t="inlineStr">
        <is>
          <t>Walls</t>
        </is>
      </c>
      <c r="I18" s="2" t="inlineStr"/>
    </row>
    <row r="19">
      <c r="A19" s="2" t="n">
        <v>18</v>
      </c>
      <c r="B19" s="2" t="inlineStr">
        <is>
          <t>WAL-002</t>
        </is>
      </c>
      <c r="C19" s="2" t="inlineStr">
        <is>
          <t>External FC sheet 9mm 2400x1200</t>
        </is>
      </c>
      <c r="D19" s="2" t="inlineStr">
        <is>
          <t>no</t>
        </is>
      </c>
      <c r="E19" s="2" t="n">
        <v>55</v>
      </c>
      <c r="F19" s="2" t="n">
        <v>68</v>
      </c>
      <c r="G19" s="2">
        <f>E19*F19</f>
        <v/>
      </c>
      <c r="H19" s="2" t="inlineStr">
        <is>
          <t>Walls</t>
        </is>
      </c>
      <c r="I19" s="2" t="inlineStr"/>
    </row>
    <row r="20">
      <c r="A20" s="2" t="n">
        <v>19</v>
      </c>
      <c r="B20" s="2" t="inlineStr">
        <is>
          <t>WAL-003</t>
        </is>
      </c>
      <c r="C20" s="2" t="inlineStr">
        <is>
          <t>External wall wrap breathable membrane</t>
        </is>
      </c>
      <c r="D20" s="2" t="inlineStr">
        <is>
          <t>m2</t>
        </is>
      </c>
      <c r="E20" s="2" t="n">
        <v>165</v>
      </c>
      <c r="F20" s="2" t="n">
        <v>6.5</v>
      </c>
      <c r="G20" s="2">
        <f>E20*F20</f>
        <v/>
      </c>
      <c r="H20" s="2" t="inlineStr">
        <is>
          <t>Walls</t>
        </is>
      </c>
      <c r="I20" s="2" t="inlineStr"/>
    </row>
    <row r="21">
      <c r="A21" s="2" t="n">
        <v>20</v>
      </c>
      <c r="B21" s="2" t="inlineStr">
        <is>
          <t>WAL-004</t>
        </is>
      </c>
      <c r="C21" s="2" t="inlineStr">
        <is>
          <t>External corner flashing Colorbond</t>
        </is>
      </c>
      <c r="D21" s="2" t="inlineStr">
        <is>
          <t>lm</t>
        </is>
      </c>
      <c r="E21" s="2" t="n">
        <v>16</v>
      </c>
      <c r="F21" s="2" t="n">
        <v>15</v>
      </c>
      <c r="G21" s="2">
        <f>E21*F21</f>
        <v/>
      </c>
      <c r="H21" s="2" t="inlineStr">
        <is>
          <t>Walls</t>
        </is>
      </c>
      <c r="I21" s="2" t="inlineStr"/>
    </row>
    <row r="22">
      <c r="A22" s="2" t="n">
        <v>21</v>
      </c>
      <c r="B22" s="2" t="inlineStr">
        <is>
          <t>WAL-005</t>
        </is>
      </c>
      <c r="C22" s="2" t="inlineStr">
        <is>
          <t>Internal plasterboard 10mm 2400x1200</t>
        </is>
      </c>
      <c r="D22" s="2" t="inlineStr">
        <is>
          <t>no</t>
        </is>
      </c>
      <c r="E22" s="2" t="n">
        <v>65</v>
      </c>
      <c r="F22" s="2" t="n">
        <v>32</v>
      </c>
      <c r="G22" s="2">
        <f>E22*F22</f>
        <v/>
      </c>
      <c r="H22" s="2" t="inlineStr">
        <is>
          <t>Walls</t>
        </is>
      </c>
      <c r="I22" s="2" t="inlineStr"/>
    </row>
    <row r="23">
      <c r="A23" s="2" t="n">
        <v>22</v>
      </c>
      <c r="B23" s="2" t="inlineStr">
        <is>
          <t>WAL-006</t>
        </is>
      </c>
      <c r="C23" s="2" t="inlineStr">
        <is>
          <t>Plasterboard jointing compound 15kg</t>
        </is>
      </c>
      <c r="D23" s="2" t="inlineStr">
        <is>
          <t>no</t>
        </is>
      </c>
      <c r="E23" s="2" t="n">
        <v>8</v>
      </c>
      <c r="F23" s="2" t="n">
        <v>28</v>
      </c>
      <c r="G23" s="2">
        <f>E23*F23</f>
        <v/>
      </c>
      <c r="H23" s="2" t="inlineStr">
        <is>
          <t>Walls</t>
        </is>
      </c>
      <c r="I23" s="2" t="inlineStr"/>
    </row>
    <row r="24">
      <c r="A24" s="2" t="n">
        <v>23</v>
      </c>
      <c r="B24" s="2" t="inlineStr">
        <is>
          <t>WAL-007</t>
        </is>
      </c>
      <c r="C24" s="2" t="inlineStr">
        <is>
          <t>Plasterboard paper tape 75m roll</t>
        </is>
      </c>
      <c r="D24" s="2" t="inlineStr">
        <is>
          <t>no</t>
        </is>
      </c>
      <c r="E24" s="2" t="n">
        <v>6</v>
      </c>
      <c r="F24" s="2" t="n">
        <v>8.5</v>
      </c>
      <c r="G24" s="2">
        <f>E24*F24</f>
        <v/>
      </c>
      <c r="H24" s="2" t="inlineStr">
        <is>
          <t>Walls</t>
        </is>
      </c>
      <c r="I24" s="2" t="inlineStr"/>
    </row>
    <row r="25">
      <c r="A25" s="2" t="n">
        <v>24</v>
      </c>
      <c r="B25" s="2" t="inlineStr">
        <is>
          <t>WAL-008</t>
        </is>
      </c>
      <c r="C25" s="2" t="inlineStr">
        <is>
          <t>Wall screw 6g x 25mm fine thread</t>
        </is>
      </c>
      <c r="D25" s="2" t="inlineStr">
        <is>
          <t>box</t>
        </is>
      </c>
      <c r="E25" s="2" t="n">
        <v>12</v>
      </c>
      <c r="F25" s="2" t="n">
        <v>18</v>
      </c>
      <c r="G25" s="2">
        <f>E25*F25</f>
        <v/>
      </c>
      <c r="H25" s="2" t="inlineStr">
        <is>
          <t>Walls</t>
        </is>
      </c>
      <c r="I25" s="2" t="inlineStr"/>
    </row>
    <row r="26">
      <c r="A26" s="2" t="n">
        <v>25</v>
      </c>
      <c r="B26" s="2" t="inlineStr">
        <is>
          <t>CEL-001</t>
        </is>
      </c>
      <c r="C26" s="2" t="inlineStr">
        <is>
          <t>Ceiling batten steel 28x20x0.42mm</t>
        </is>
      </c>
      <c r="D26" s="2" t="inlineStr">
        <is>
          <t>lm</t>
        </is>
      </c>
      <c r="E26" s="2" t="n">
        <v>160</v>
      </c>
      <c r="F26" s="2" t="n">
        <v>12</v>
      </c>
      <c r="G26" s="2">
        <f>E26*F26</f>
        <v/>
      </c>
      <c r="H26" s="2" t="inlineStr">
        <is>
          <t>Ceiling</t>
        </is>
      </c>
      <c r="I26" s="2" t="inlineStr"/>
    </row>
    <row r="27">
      <c r="A27" s="2" t="n">
        <v>26</v>
      </c>
      <c r="B27" s="2" t="inlineStr">
        <is>
          <t>CEL-002</t>
        </is>
      </c>
      <c r="C27" s="2" t="inlineStr">
        <is>
          <t>Ceiling plasterboard 10mm 2400x1200</t>
        </is>
      </c>
      <c r="D27" s="2" t="inlineStr">
        <is>
          <t>no</t>
        </is>
      </c>
      <c r="E27" s="2" t="n">
        <v>45</v>
      </c>
      <c r="F27" s="2" t="n">
        <v>32</v>
      </c>
      <c r="G27" s="2">
        <f>E27*F27</f>
        <v/>
      </c>
      <c r="H27" s="2" t="inlineStr">
        <is>
          <t>Ceiling</t>
        </is>
      </c>
      <c r="I27" s="2" t="inlineStr"/>
    </row>
    <row r="28">
      <c r="A28" s="2" t="n">
        <v>27</v>
      </c>
      <c r="B28" s="2" t="inlineStr">
        <is>
          <t>CEL-003</t>
        </is>
      </c>
      <c r="C28" s="2" t="inlineStr">
        <is>
          <t>Ceiling insulation R2.0 batts</t>
        </is>
      </c>
      <c r="D28" s="2" t="inlineStr">
        <is>
          <t>m2</t>
        </is>
      </c>
      <c r="E28" s="2" t="n">
        <v>110</v>
      </c>
      <c r="F28" s="2" t="n">
        <v>12</v>
      </c>
      <c r="G28" s="2">
        <f>E28*F28</f>
        <v/>
      </c>
      <c r="H28" s="2" t="inlineStr">
        <is>
          <t>Ceiling</t>
        </is>
      </c>
      <c r="I28" s="2" t="inlineStr"/>
    </row>
    <row r="29">
      <c r="A29" s="2" t="n">
        <v>28</v>
      </c>
      <c r="B29" s="2" t="inlineStr">
        <is>
          <t>DOR-001</t>
        </is>
      </c>
      <c r="C29" s="2" t="inlineStr">
        <is>
          <t>Entrance door solid core 2040x820mm</t>
        </is>
      </c>
      <c r="D29" s="2" t="inlineStr">
        <is>
          <t>no</t>
        </is>
      </c>
      <c r="E29" s="2" t="n">
        <v>1</v>
      </c>
      <c r="F29" s="2" t="n">
        <v>450</v>
      </c>
      <c r="G29" s="2">
        <f>E29*F29</f>
        <v/>
      </c>
      <c r="H29" s="2" t="inlineStr">
        <is>
          <t>Doors</t>
        </is>
      </c>
      <c r="I29" s="2" t="inlineStr"/>
    </row>
    <row r="30">
      <c r="A30" s="2" t="n">
        <v>29</v>
      </c>
      <c r="B30" s="2" t="inlineStr">
        <is>
          <t>DOR-002</t>
        </is>
      </c>
      <c r="C30" s="2" t="inlineStr">
        <is>
          <t>Internal door hollow core 2040x720mm</t>
        </is>
      </c>
      <c r="D30" s="2" t="inlineStr">
        <is>
          <t>no</t>
        </is>
      </c>
      <c r="E30" s="2" t="n">
        <v>5</v>
      </c>
      <c r="F30" s="2" t="n">
        <v>185</v>
      </c>
      <c r="G30" s="2">
        <f>E30*F30</f>
        <v/>
      </c>
      <c r="H30" s="2" t="inlineStr">
        <is>
          <t>Doors</t>
        </is>
      </c>
      <c r="I30" s="2" t="inlineStr"/>
    </row>
    <row r="31">
      <c r="A31" s="2" t="n">
        <v>30</v>
      </c>
      <c r="B31" s="2" t="inlineStr">
        <is>
          <t>DOR-003</t>
        </is>
      </c>
      <c r="C31" s="2" t="inlineStr">
        <is>
          <t>Bathroom door 2040x620mm</t>
        </is>
      </c>
      <c r="D31" s="2" t="inlineStr">
        <is>
          <t>no</t>
        </is>
      </c>
      <c r="E31" s="2" t="n">
        <v>1</v>
      </c>
      <c r="F31" s="2" t="n">
        <v>195</v>
      </c>
      <c r="G31" s="2">
        <f>E31*F31</f>
        <v/>
      </c>
      <c r="H31" s="2" t="inlineStr">
        <is>
          <t>Doors</t>
        </is>
      </c>
      <c r="I31" s="2" t="inlineStr"/>
    </row>
    <row r="32">
      <c r="A32" s="2" t="n">
        <v>31</v>
      </c>
      <c r="B32" s="2" t="inlineStr">
        <is>
          <t>DOR-004</t>
        </is>
      </c>
      <c r="C32" s="2" t="inlineStr">
        <is>
          <t>Door frame pine 90x30mm set</t>
        </is>
      </c>
      <c r="D32" s="2" t="inlineStr">
        <is>
          <t>set</t>
        </is>
      </c>
      <c r="E32" s="2" t="n">
        <v>7</v>
      </c>
      <c r="F32" s="2" t="n">
        <v>85</v>
      </c>
      <c r="G32" s="2">
        <f>E32*F32</f>
        <v/>
      </c>
      <c r="H32" s="2" t="inlineStr">
        <is>
          <t>Doors</t>
        </is>
      </c>
      <c r="I32" s="2" t="inlineStr"/>
    </row>
    <row r="33">
      <c r="A33" s="2" t="n">
        <v>32</v>
      </c>
      <c r="B33" s="2" t="inlineStr">
        <is>
          <t>DOR-005</t>
        </is>
      </c>
      <c r="C33" s="2" t="inlineStr">
        <is>
          <t>Door hinge 100mm stainless steel</t>
        </is>
      </c>
      <c r="D33" s="2" t="inlineStr">
        <is>
          <t>pair</t>
        </is>
      </c>
      <c r="E33" s="2" t="n">
        <v>21</v>
      </c>
      <c r="F33" s="2" t="n">
        <v>12</v>
      </c>
      <c r="G33" s="2">
        <f>E33*F33</f>
        <v/>
      </c>
      <c r="H33" s="2" t="inlineStr">
        <is>
          <t>Doors</t>
        </is>
      </c>
      <c r="I33" s="2" t="inlineStr">
        <is>
          <t>3 per door</t>
        </is>
      </c>
    </row>
    <row r="34">
      <c r="A34" s="2" t="n">
        <v>33</v>
      </c>
      <c r="B34" s="2" t="inlineStr">
        <is>
          <t>DOR-006</t>
        </is>
      </c>
      <c r="C34" s="2" t="inlineStr">
        <is>
          <t>Door handle lever set</t>
        </is>
      </c>
      <c r="D34" s="2" t="inlineStr">
        <is>
          <t>set</t>
        </is>
      </c>
      <c r="E34" s="2" t="n">
        <v>7</v>
      </c>
      <c r="F34" s="2" t="n">
        <v>35</v>
      </c>
      <c r="G34" s="2">
        <f>E34*F34</f>
        <v/>
      </c>
      <c r="H34" s="2" t="inlineStr">
        <is>
          <t>Doors</t>
        </is>
      </c>
      <c r="I34" s="2" t="inlineStr"/>
    </row>
    <row r="35">
      <c r="A35" s="2" t="n">
        <v>34</v>
      </c>
      <c r="B35" s="2" t="inlineStr">
        <is>
          <t>DOR-007</t>
        </is>
      </c>
      <c r="C35" s="2" t="inlineStr">
        <is>
          <t>Entrance door deadlock</t>
        </is>
      </c>
      <c r="D35" s="2" t="inlineStr">
        <is>
          <t>no</t>
        </is>
      </c>
      <c r="E35" s="2" t="n">
        <v>1</v>
      </c>
      <c r="F35" s="2" t="n">
        <v>65</v>
      </c>
      <c r="G35" s="2">
        <f>E35*F35</f>
        <v/>
      </c>
      <c r="H35" s="2" t="inlineStr">
        <is>
          <t>Doors</t>
        </is>
      </c>
      <c r="I35" s="2" t="inlineStr"/>
    </row>
    <row r="36">
      <c r="A36" s="2" t="n">
        <v>35</v>
      </c>
      <c r="B36" s="2" t="inlineStr">
        <is>
          <t>WIN-001</t>
        </is>
      </c>
      <c r="C36" s="2" t="inlineStr">
        <is>
          <t>Aluminium sliding window 1800x1200mm</t>
        </is>
      </c>
      <c r="D36" s="2" t="inlineStr">
        <is>
          <t>no</t>
        </is>
      </c>
      <c r="E36" s="2" t="n">
        <v>2</v>
      </c>
      <c r="F36" s="2" t="n">
        <v>380</v>
      </c>
      <c r="G36" s="2">
        <f>E36*F36</f>
        <v/>
      </c>
      <c r="H36" s="2" t="inlineStr">
        <is>
          <t>Windows</t>
        </is>
      </c>
      <c r="I36" s="2" t="inlineStr"/>
    </row>
    <row r="37">
      <c r="A37" s="2" t="n">
        <v>36</v>
      </c>
      <c r="B37" s="2" t="inlineStr">
        <is>
          <t>WIN-002</t>
        </is>
      </c>
      <c r="C37" s="2" t="inlineStr">
        <is>
          <t>Aluminium sliding window 1200x1200mm</t>
        </is>
      </c>
      <c r="D37" s="2" t="inlineStr">
        <is>
          <t>no</t>
        </is>
      </c>
      <c r="E37" s="2" t="n">
        <v>2</v>
      </c>
      <c r="F37" s="2" t="n">
        <v>320</v>
      </c>
      <c r="G37" s="2">
        <f>E37*F37</f>
        <v/>
      </c>
      <c r="H37" s="2" t="inlineStr">
        <is>
          <t>Windows</t>
        </is>
      </c>
      <c r="I37" s="2" t="inlineStr"/>
    </row>
    <row r="38">
      <c r="A38" s="2" t="n">
        <v>37</v>
      </c>
      <c r="B38" s="2" t="inlineStr">
        <is>
          <t>WIN-003</t>
        </is>
      </c>
      <c r="C38" s="2" t="inlineStr">
        <is>
          <t>Aluminium louvre window 600x600mm</t>
        </is>
      </c>
      <c r="D38" s="2" t="inlineStr">
        <is>
          <t>no</t>
        </is>
      </c>
      <c r="E38" s="2" t="n">
        <v>2</v>
      </c>
      <c r="F38" s="2" t="n">
        <v>185</v>
      </c>
      <c r="G38" s="2">
        <f>E38*F38</f>
        <v/>
      </c>
      <c r="H38" s="2" t="inlineStr">
        <is>
          <t>Windows</t>
        </is>
      </c>
      <c r="I38" s="2" t="inlineStr"/>
    </row>
    <row r="39">
      <c r="A39" s="2" t="n">
        <v>38</v>
      </c>
      <c r="B39" s="2" t="inlineStr">
        <is>
          <t>WIN-004</t>
        </is>
      </c>
      <c r="C39" s="2" t="inlineStr">
        <is>
          <t>Window flashing kit per window</t>
        </is>
      </c>
      <c r="D39" s="2" t="inlineStr">
        <is>
          <t>set</t>
        </is>
      </c>
      <c r="E39" s="2" t="n">
        <v>6</v>
      </c>
      <c r="F39" s="2" t="n">
        <v>25</v>
      </c>
      <c r="G39" s="2">
        <f>E39*F39</f>
        <v/>
      </c>
      <c r="H39" s="2" t="inlineStr">
        <is>
          <t>Windows</t>
        </is>
      </c>
      <c r="I39" s="2" t="inlineStr"/>
    </row>
    <row r="40">
      <c r="A40" s="2" t="n">
        <v>39</v>
      </c>
      <c r="B40" s="2" t="inlineStr">
        <is>
          <t>FLR-001</t>
        </is>
      </c>
      <c r="C40" s="2" t="inlineStr">
        <is>
          <t>Floor tile ceramic 300x300mm</t>
        </is>
      </c>
      <c r="D40" s="2" t="inlineStr">
        <is>
          <t>m2</t>
        </is>
      </c>
      <c r="E40" s="2" t="n">
        <v>35</v>
      </c>
      <c r="F40" s="2" t="n">
        <v>42</v>
      </c>
      <c r="G40" s="2">
        <f>E40*F40</f>
        <v/>
      </c>
      <c r="H40" s="2" t="inlineStr">
        <is>
          <t>Floor</t>
        </is>
      </c>
      <c r="I40" s="2" t="inlineStr">
        <is>
          <t>Wet areas</t>
        </is>
      </c>
    </row>
    <row r="41">
      <c r="A41" s="2" t="n">
        <v>40</v>
      </c>
      <c r="B41" s="2" t="inlineStr">
        <is>
          <t>FLR-002</t>
        </is>
      </c>
      <c r="C41" s="2" t="inlineStr">
        <is>
          <t>Floor tile adhesive 20kg bag</t>
        </is>
      </c>
      <c r="D41" s="2" t="inlineStr">
        <is>
          <t>bag</t>
        </is>
      </c>
      <c r="E41" s="2" t="n">
        <v>12</v>
      </c>
      <c r="F41" s="2" t="n">
        <v>28</v>
      </c>
      <c r="G41" s="2">
        <f>E41*F41</f>
        <v/>
      </c>
      <c r="H41" s="2" t="inlineStr">
        <is>
          <t>Floor</t>
        </is>
      </c>
      <c r="I41" s="2" t="inlineStr"/>
    </row>
    <row r="42">
      <c r="A42" s="2" t="n">
        <v>41</v>
      </c>
      <c r="B42" s="2" t="inlineStr">
        <is>
          <t>FLR-003</t>
        </is>
      </c>
      <c r="C42" s="2" t="inlineStr">
        <is>
          <t>Floor vinyl sheet 2m wide</t>
        </is>
      </c>
      <c r="D42" s="2" t="inlineStr">
        <is>
          <t>m2</t>
        </is>
      </c>
      <c r="E42" s="2" t="n">
        <v>75</v>
      </c>
      <c r="F42" s="2" t="n">
        <v>38</v>
      </c>
      <c r="G42" s="2">
        <f>E42*F42</f>
        <v/>
      </c>
      <c r="H42" s="2" t="inlineStr">
        <is>
          <t>Floor</t>
        </is>
      </c>
      <c r="I42" s="2" t="inlineStr">
        <is>
          <t>Living/bedrooms</t>
        </is>
      </c>
    </row>
    <row r="43">
      <c r="A43" s="2" t="n">
        <v>42</v>
      </c>
      <c r="B43" s="2" t="inlineStr">
        <is>
          <t>FLR-004</t>
        </is>
      </c>
      <c r="C43" s="2" t="inlineStr">
        <is>
          <t>Floor underlay 2mm foam</t>
        </is>
      </c>
      <c r="D43" s="2" t="inlineStr">
        <is>
          <t>m2</t>
        </is>
      </c>
      <c r="E43" s="2" t="n">
        <v>75</v>
      </c>
      <c r="F43" s="2" t="n">
        <v>5.5</v>
      </c>
      <c r="G43" s="2">
        <f>E43*F43</f>
        <v/>
      </c>
      <c r="H43" s="2" t="inlineStr">
        <is>
          <t>Floor</t>
        </is>
      </c>
      <c r="I43" s="2" t="inlineStr"/>
    </row>
    <row r="44">
      <c r="A44" s="2" t="n">
        <v>43</v>
      </c>
      <c r="B44" s="2" t="inlineStr">
        <is>
          <t>FLR-005</t>
        </is>
      </c>
      <c r="C44" s="2" t="inlineStr">
        <is>
          <t>Skirting board pine 60x12mm</t>
        </is>
      </c>
      <c r="D44" s="2" t="inlineStr">
        <is>
          <t>lm</t>
        </is>
      </c>
      <c r="E44" s="2" t="n">
        <v>85</v>
      </c>
      <c r="F44" s="2" t="n">
        <v>8.5</v>
      </c>
      <c r="G44" s="2">
        <f>E44*F44</f>
        <v/>
      </c>
      <c r="H44" s="2" t="inlineStr">
        <is>
          <t>Floor</t>
        </is>
      </c>
      <c r="I44" s="2" t="inlineStr"/>
    </row>
    <row r="45">
      <c r="A45" s="2" t="n">
        <v>44</v>
      </c>
      <c r="B45" s="2" t="inlineStr">
        <is>
          <t>PNT-001</t>
        </is>
      </c>
      <c r="C45" s="2" t="inlineStr">
        <is>
          <t>Interior wall paint acrylic 15L</t>
        </is>
      </c>
      <c r="D45" s="2" t="inlineStr">
        <is>
          <t>pail</t>
        </is>
      </c>
      <c r="E45" s="2" t="n">
        <v>6</v>
      </c>
      <c r="F45" s="2" t="n">
        <v>145</v>
      </c>
      <c r="G45" s="2">
        <f>E45*F45</f>
        <v/>
      </c>
      <c r="H45" s="2" t="inlineStr">
        <is>
          <t>Paint</t>
        </is>
      </c>
      <c r="I45" s="2" t="inlineStr"/>
    </row>
    <row r="46">
      <c r="A46" s="2" t="n">
        <v>45</v>
      </c>
      <c r="B46" s="2" t="inlineStr">
        <is>
          <t>PNT-002</t>
        </is>
      </c>
      <c r="C46" s="2" t="inlineStr">
        <is>
          <t>Exterior wall paint weather shield 15L</t>
        </is>
      </c>
      <c r="D46" s="2" t="inlineStr">
        <is>
          <t>pail</t>
        </is>
      </c>
      <c r="E46" s="2" t="n">
        <v>4</v>
      </c>
      <c r="F46" s="2" t="n">
        <v>185</v>
      </c>
      <c r="G46" s="2">
        <f>E46*F46</f>
        <v/>
      </c>
      <c r="H46" s="2" t="inlineStr">
        <is>
          <t>Paint</t>
        </is>
      </c>
      <c r="I46" s="2" t="inlineStr"/>
    </row>
    <row r="47">
      <c r="A47" s="2" t="n">
        <v>46</v>
      </c>
      <c r="B47" s="2" t="inlineStr">
        <is>
          <t>PNT-003</t>
        </is>
      </c>
      <c r="C47" s="2" t="inlineStr">
        <is>
          <t>Ceiling paint flat white 15L</t>
        </is>
      </c>
      <c r="D47" s="2" t="inlineStr">
        <is>
          <t>pail</t>
        </is>
      </c>
      <c r="E47" s="2" t="n">
        <v>3</v>
      </c>
      <c r="F47" s="2" t="n">
        <v>125</v>
      </c>
      <c r="G47" s="2">
        <f>E47*F47</f>
        <v/>
      </c>
      <c r="H47" s="2" t="inlineStr">
        <is>
          <t>Paint</t>
        </is>
      </c>
      <c r="I47" s="2" t="inlineStr"/>
    </row>
    <row r="48">
      <c r="A48" s="2" t="n">
        <v>47</v>
      </c>
      <c r="B48" s="2" t="inlineStr">
        <is>
          <t>PNT-004</t>
        </is>
      </c>
      <c r="C48" s="2" t="inlineStr">
        <is>
          <t>Primer/sealer 15L</t>
        </is>
      </c>
      <c r="D48" s="2" t="inlineStr">
        <is>
          <t>pail</t>
        </is>
      </c>
      <c r="E48" s="2" t="n">
        <v>3</v>
      </c>
      <c r="F48" s="2" t="n">
        <v>110</v>
      </c>
      <c r="G48" s="2">
        <f>E48*F48</f>
        <v/>
      </c>
      <c r="H48" s="2" t="inlineStr">
        <is>
          <t>Paint</t>
        </is>
      </c>
      <c r="I48" s="2" t="inlineStr"/>
    </row>
    <row r="49">
      <c r="A49" s="2" t="n">
        <v>48</v>
      </c>
      <c r="B49" s="2" t="inlineStr">
        <is>
          <t>VER-001</t>
        </is>
      </c>
      <c r="C49" s="2" t="inlineStr">
        <is>
          <t>Verandah decking hardwood 90x19mm</t>
        </is>
      </c>
      <c r="D49" s="2" t="inlineStr">
        <is>
          <t>m2</t>
        </is>
      </c>
      <c r="E49" s="2" t="n">
        <v>24</v>
      </c>
      <c r="F49" s="2" t="n">
        <v>85</v>
      </c>
      <c r="G49" s="2">
        <f>E49*F49</f>
        <v/>
      </c>
      <c r="H49" s="2" t="inlineStr">
        <is>
          <t>Verandah</t>
        </is>
      </c>
      <c r="I49" s="2" t="inlineStr"/>
    </row>
    <row r="50">
      <c r="A50" s="2" t="n">
        <v>49</v>
      </c>
      <c r="B50" s="2" t="inlineStr">
        <is>
          <t>VER-002</t>
        </is>
      </c>
      <c r="C50" s="2" t="inlineStr">
        <is>
          <t>Verandah bearer hardwood 100x75mm</t>
        </is>
      </c>
      <c r="D50" s="2" t="inlineStr">
        <is>
          <t>lm</t>
        </is>
      </c>
      <c r="E50" s="2" t="n">
        <v>12</v>
      </c>
      <c r="F50" s="2" t="n">
        <v>45</v>
      </c>
      <c r="G50" s="2">
        <f>E50*F50</f>
        <v/>
      </c>
      <c r="H50" s="2" t="inlineStr">
        <is>
          <t>Verandah</t>
        </is>
      </c>
      <c r="I50" s="2" t="inlineStr"/>
    </row>
    <row r="51">
      <c r="A51" s="2" t="n">
        <v>50</v>
      </c>
      <c r="B51" s="2" t="inlineStr">
        <is>
          <t>VER-003</t>
        </is>
      </c>
      <c r="C51" s="2" t="inlineStr">
        <is>
          <t>Verandah joist hardwood 75x50mm</t>
        </is>
      </c>
      <c r="D51" s="2" t="inlineStr">
        <is>
          <t>lm</t>
        </is>
      </c>
      <c r="E51" s="2" t="n">
        <v>28</v>
      </c>
      <c r="F51" s="2" t="n">
        <v>32</v>
      </c>
      <c r="G51" s="2">
        <f>E51*F51</f>
        <v/>
      </c>
      <c r="H51" s="2" t="inlineStr">
        <is>
          <t>Verandah</t>
        </is>
      </c>
      <c r="I51" s="2" t="inlineStr"/>
    </row>
    <row r="52">
      <c r="A52" s="2" t="n">
        <v>51</v>
      </c>
      <c r="B52" s="2" t="inlineStr">
        <is>
          <t>VER-004</t>
        </is>
      </c>
      <c r="C52" s="2" t="inlineStr">
        <is>
          <t>Verandah post 90x90mm hardwood</t>
        </is>
      </c>
      <c r="D52" s="2" t="inlineStr">
        <is>
          <t>no</t>
        </is>
      </c>
      <c r="E52" s="2" t="n">
        <v>4</v>
      </c>
      <c r="F52" s="2" t="n">
        <v>125</v>
      </c>
      <c r="G52" s="2">
        <f>E52*F52</f>
        <v/>
      </c>
      <c r="H52" s="2" t="inlineStr">
        <is>
          <t>Verandah</t>
        </is>
      </c>
      <c r="I52" s="2" t="inlineStr"/>
    </row>
    <row r="53">
      <c r="A53" s="2" t="n">
        <v>52</v>
      </c>
      <c r="B53" s="2" t="inlineStr">
        <is>
          <t>VER-005</t>
        </is>
      </c>
      <c r="C53" s="2" t="inlineStr">
        <is>
          <t>Verandah handrail complete</t>
        </is>
      </c>
      <c r="D53" s="2" t="inlineStr">
        <is>
          <t>lm</t>
        </is>
      </c>
      <c r="E53" s="2" t="n">
        <v>8</v>
      </c>
      <c r="F53" s="2" t="n">
        <v>65</v>
      </c>
      <c r="G53" s="2">
        <f>E53*F53</f>
        <v/>
      </c>
      <c r="H53" s="2" t="inlineStr">
        <is>
          <t>Verandah</t>
        </is>
      </c>
      <c r="I53" s="2" t="inlineStr"/>
    </row>
    <row r="54">
      <c r="A54" s="2" t="n">
        <v>53</v>
      </c>
      <c r="B54" s="2" t="inlineStr">
        <is>
          <t>PLB-001</t>
        </is>
      </c>
      <c r="C54" s="2" t="inlineStr">
        <is>
          <t>PVC pipe 100mm DWV</t>
        </is>
      </c>
      <c r="D54" s="2" t="inlineStr">
        <is>
          <t>lm</t>
        </is>
      </c>
      <c r="E54" s="2" t="n">
        <v>15</v>
      </c>
      <c r="F54" s="2" t="n">
        <v>28</v>
      </c>
      <c r="G54" s="2">
        <f>E54*F54</f>
        <v/>
      </c>
      <c r="H54" s="2" t="inlineStr">
        <is>
          <t>Plumbing</t>
        </is>
      </c>
      <c r="I54" s="2" t="inlineStr"/>
    </row>
    <row r="55">
      <c r="A55" s="2" t="n">
        <v>54</v>
      </c>
      <c r="B55" s="2" t="inlineStr">
        <is>
          <t>PLB-002</t>
        </is>
      </c>
      <c r="C55" s="2" t="inlineStr">
        <is>
          <t>PVC pipe 50mm DWV</t>
        </is>
      </c>
      <c r="D55" s="2" t="inlineStr">
        <is>
          <t>lm</t>
        </is>
      </c>
      <c r="E55" s="2" t="n">
        <v>12</v>
      </c>
      <c r="F55" s="2" t="n">
        <v>15</v>
      </c>
      <c r="G55" s="2">
        <f>E55*F55</f>
        <v/>
      </c>
      <c r="H55" s="2" t="inlineStr">
        <is>
          <t>Plumbing</t>
        </is>
      </c>
      <c r="I55" s="2" t="inlineStr"/>
    </row>
    <row r="56">
      <c r="A56" s="2" t="n">
        <v>55</v>
      </c>
      <c r="B56" s="2" t="inlineStr">
        <is>
          <t>PLB-003</t>
        </is>
      </c>
      <c r="C56" s="2" t="inlineStr">
        <is>
          <t>Water pipe HDPE 20mm</t>
        </is>
      </c>
      <c r="D56" s="2" t="inlineStr">
        <is>
          <t>lm</t>
        </is>
      </c>
      <c r="E56" s="2" t="n">
        <v>25</v>
      </c>
      <c r="F56" s="2" t="n">
        <v>8.5</v>
      </c>
      <c r="G56" s="2">
        <f>E56*F56</f>
        <v/>
      </c>
      <c r="H56" s="2" t="inlineStr">
        <is>
          <t>Plumbing</t>
        </is>
      </c>
      <c r="I56" s="2" t="inlineStr"/>
    </row>
    <row r="57">
      <c r="A57" s="2" t="n">
        <v>56</v>
      </c>
      <c r="B57" s="2" t="inlineStr">
        <is>
          <t>PLB-004</t>
        </is>
      </c>
      <c r="C57" s="2" t="inlineStr">
        <is>
          <t>Toilet suite complete</t>
        </is>
      </c>
      <c r="D57" s="2" t="inlineStr">
        <is>
          <t>set</t>
        </is>
      </c>
      <c r="E57" s="2" t="n">
        <v>1</v>
      </c>
      <c r="F57" s="2" t="n">
        <v>450</v>
      </c>
      <c r="G57" s="2">
        <f>E57*F57</f>
        <v/>
      </c>
      <c r="H57" s="2" t="inlineStr">
        <is>
          <t>Plumbing</t>
        </is>
      </c>
      <c r="I57" s="2" t="inlineStr"/>
    </row>
    <row r="58">
      <c r="A58" s="2" t="n">
        <v>57</v>
      </c>
      <c r="B58" s="2" t="inlineStr">
        <is>
          <t>PLB-005</t>
        </is>
      </c>
      <c r="C58" s="2" t="inlineStr">
        <is>
          <t>Shower base and screen</t>
        </is>
      </c>
      <c r="D58" s="2" t="inlineStr">
        <is>
          <t>set</t>
        </is>
      </c>
      <c r="E58" s="2" t="n">
        <v>1</v>
      </c>
      <c r="F58" s="2" t="n">
        <v>380</v>
      </c>
      <c r="G58" s="2">
        <f>E58*F58</f>
        <v/>
      </c>
      <c r="H58" s="2" t="inlineStr">
        <is>
          <t>Plumbing</t>
        </is>
      </c>
      <c r="I58" s="2" t="inlineStr"/>
    </row>
    <row r="59">
      <c r="A59" s="2" t="n">
        <v>58</v>
      </c>
      <c r="B59" s="2" t="inlineStr">
        <is>
          <t>PLB-006</t>
        </is>
      </c>
      <c r="C59" s="2" t="inlineStr">
        <is>
          <t>Bathroom basin and pedestal</t>
        </is>
      </c>
      <c r="D59" s="2" t="inlineStr">
        <is>
          <t>set</t>
        </is>
      </c>
      <c r="E59" s="2" t="n">
        <v>1</v>
      </c>
      <c r="F59" s="2" t="n">
        <v>220</v>
      </c>
      <c r="G59" s="2">
        <f>E59*F59</f>
        <v/>
      </c>
      <c r="H59" s="2" t="inlineStr">
        <is>
          <t>Plumbing</t>
        </is>
      </c>
      <c r="I59" s="2" t="inlineStr"/>
    </row>
    <row r="60">
      <c r="A60" s="2" t="n">
        <v>59</v>
      </c>
      <c r="B60" s="2" t="inlineStr">
        <is>
          <t>PLB-007</t>
        </is>
      </c>
      <c r="C60" s="2" t="inlineStr">
        <is>
          <t>Kitchen sink stainless double bowl</t>
        </is>
      </c>
      <c r="D60" s="2" t="inlineStr">
        <is>
          <t>set</t>
        </is>
      </c>
      <c r="E60" s="2" t="n">
        <v>1</v>
      </c>
      <c r="F60" s="2" t="n">
        <v>350</v>
      </c>
      <c r="G60" s="2">
        <f>E60*F60</f>
        <v/>
      </c>
      <c r="H60" s="2" t="inlineStr">
        <is>
          <t>Plumbing</t>
        </is>
      </c>
      <c r="I60" s="2" t="inlineStr"/>
    </row>
    <row r="61">
      <c r="A61" s="2" t="n">
        <v>60</v>
      </c>
      <c r="B61" s="2" t="inlineStr">
        <is>
          <t>PLB-008</t>
        </is>
      </c>
      <c r="C61" s="2" t="inlineStr">
        <is>
          <t>Laundry tub stainless</t>
        </is>
      </c>
      <c r="D61" s="2" t="inlineStr">
        <is>
          <t>set</t>
        </is>
      </c>
      <c r="E61" s="2" t="n">
        <v>1</v>
      </c>
      <c r="F61" s="2" t="n">
        <v>280</v>
      </c>
      <c r="G61" s="2">
        <f>E61*F61</f>
        <v/>
      </c>
      <c r="H61" s="2" t="inlineStr">
        <is>
          <t>Plumbing</t>
        </is>
      </c>
      <c r="I61" s="2" t="inlineStr"/>
    </row>
    <row r="62">
      <c r="A62" s="2" t="n">
        <v>61</v>
      </c>
      <c r="B62" s="2" t="inlineStr">
        <is>
          <t>ELC-001</t>
        </is>
      </c>
      <c r="C62" s="2" t="inlineStr">
        <is>
          <t>Twin &amp; earth cable 2.5mm 100m</t>
        </is>
      </c>
      <c r="D62" s="2" t="inlineStr">
        <is>
          <t>roll</t>
        </is>
      </c>
      <c r="E62" s="2" t="n">
        <v>3</v>
      </c>
      <c r="F62" s="2" t="n">
        <v>165</v>
      </c>
      <c r="G62" s="2">
        <f>E62*F62</f>
        <v/>
      </c>
      <c r="H62" s="2" t="inlineStr">
        <is>
          <t>Electrical</t>
        </is>
      </c>
      <c r="I62" s="2" t="inlineStr"/>
    </row>
    <row r="63">
      <c r="A63" s="2" t="n">
        <v>62</v>
      </c>
      <c r="B63" s="2" t="inlineStr">
        <is>
          <t>ELC-002</t>
        </is>
      </c>
      <c r="C63" s="2" t="inlineStr">
        <is>
          <t>Power outlet double GPO</t>
        </is>
      </c>
      <c r="D63" s="2" t="inlineStr">
        <is>
          <t>no</t>
        </is>
      </c>
      <c r="E63" s="2" t="n">
        <v>12</v>
      </c>
      <c r="F63" s="2" t="n">
        <v>18</v>
      </c>
      <c r="G63" s="2">
        <f>E63*F63</f>
        <v/>
      </c>
      <c r="H63" s="2" t="inlineStr">
        <is>
          <t>Electrical</t>
        </is>
      </c>
      <c r="I63" s="2" t="inlineStr"/>
    </row>
    <row r="64">
      <c r="A64" s="2" t="n">
        <v>63</v>
      </c>
      <c r="B64" s="2" t="inlineStr">
        <is>
          <t>ELC-003</t>
        </is>
      </c>
      <c r="C64" s="2" t="inlineStr">
        <is>
          <t>Light switch single</t>
        </is>
      </c>
      <c r="D64" s="2" t="inlineStr">
        <is>
          <t>no</t>
        </is>
      </c>
      <c r="E64" s="2" t="n">
        <v>8</v>
      </c>
      <c r="F64" s="2" t="n">
        <v>12</v>
      </c>
      <c r="G64" s="2">
        <f>E64*F64</f>
        <v/>
      </c>
      <c r="H64" s="2" t="inlineStr">
        <is>
          <t>Electrical</t>
        </is>
      </c>
      <c r="I64" s="2" t="inlineStr"/>
    </row>
    <row r="65">
      <c r="A65" s="2" t="n">
        <v>64</v>
      </c>
      <c r="B65" s="2" t="inlineStr">
        <is>
          <t>ELC-004</t>
        </is>
      </c>
      <c r="C65" s="2" t="inlineStr">
        <is>
          <t>LED downlight 10W</t>
        </is>
      </c>
      <c r="D65" s="2" t="inlineStr">
        <is>
          <t>no</t>
        </is>
      </c>
      <c r="E65" s="2" t="n">
        <v>14</v>
      </c>
      <c r="F65" s="2" t="n">
        <v>22</v>
      </c>
      <c r="G65" s="2">
        <f>E65*F65</f>
        <v/>
      </c>
      <c r="H65" s="2" t="inlineStr">
        <is>
          <t>Electrical</t>
        </is>
      </c>
      <c r="I65" s="2" t="inlineStr"/>
    </row>
    <row r="66">
      <c r="A66" s="2" t="n">
        <v>65</v>
      </c>
      <c r="B66" s="2" t="inlineStr">
        <is>
          <t>ELC-005</t>
        </is>
      </c>
      <c r="C66" s="2" t="inlineStr">
        <is>
          <t>Switchboard 12-way</t>
        </is>
      </c>
      <c r="D66" s="2" t="inlineStr">
        <is>
          <t>no</t>
        </is>
      </c>
      <c r="E66" s="2" t="n">
        <v>1</v>
      </c>
      <c r="F66" s="2" t="n">
        <v>285</v>
      </c>
      <c r="G66" s="2">
        <f>E66*F66</f>
        <v/>
      </c>
      <c r="H66" s="2" t="inlineStr">
        <is>
          <t>Electrical</t>
        </is>
      </c>
      <c r="I66" s="2" t="inlineStr"/>
    </row>
    <row r="67">
      <c r="A67" s="2" t="n">
        <v>66</v>
      </c>
      <c r="B67" s="2" t="inlineStr">
        <is>
          <t>ELC-006</t>
        </is>
      </c>
      <c r="C67" s="2" t="inlineStr">
        <is>
          <t>Smoke detector hardwired</t>
        </is>
      </c>
      <c r="D67" s="2" t="inlineStr">
        <is>
          <t>no</t>
        </is>
      </c>
      <c r="E67" s="2" t="n">
        <v>3</v>
      </c>
      <c r="F67" s="2" t="n">
        <v>45</v>
      </c>
      <c r="G67" s="2">
        <f>E67*F67</f>
        <v/>
      </c>
      <c r="H67" s="2" t="inlineStr">
        <is>
          <t>Electrical</t>
        </is>
      </c>
      <c r="I67" s="2" t="inlineStr"/>
    </row>
    <row r="68">
      <c r="A68" s="2" t="n">
        <v>67</v>
      </c>
      <c r="B68" s="2" t="inlineStr">
        <is>
          <t>WPF-001</t>
        </is>
      </c>
      <c r="C68" s="2" t="inlineStr">
        <is>
          <t>Waterproofing membrane liquid</t>
        </is>
      </c>
      <c r="D68" s="2" t="inlineStr">
        <is>
          <t>m2</t>
        </is>
      </c>
      <c r="E68" s="2" t="n">
        <v>12</v>
      </c>
      <c r="F68" s="2" t="n">
        <v>35</v>
      </c>
      <c r="G68" s="2">
        <f>E68*F68</f>
        <v/>
      </c>
      <c r="H68" s="2" t="inlineStr">
        <is>
          <t>Waterproofing</t>
        </is>
      </c>
      <c r="I68" s="2" t="inlineStr">
        <is>
          <t>Wet areas</t>
        </is>
      </c>
    </row>
    <row r="69">
      <c r="A69" s="2" t="n">
        <v>68</v>
      </c>
      <c r="B69" s="2" t="inlineStr">
        <is>
          <t>WPF-002</t>
        </is>
      </c>
      <c r="C69" s="2" t="inlineStr">
        <is>
          <t>Waterproofing tape joints</t>
        </is>
      </c>
      <c r="D69" s="2" t="inlineStr">
        <is>
          <t>lm</t>
        </is>
      </c>
      <c r="E69" s="2" t="n">
        <v>15</v>
      </c>
      <c r="F69" s="2" t="n">
        <v>8</v>
      </c>
      <c r="G69" s="2">
        <f>E69*F69</f>
        <v/>
      </c>
      <c r="H69" s="2" t="inlineStr">
        <is>
          <t>Waterproofing</t>
        </is>
      </c>
      <c r="I69" s="2" t="inlineStr"/>
    </row>
    <row r="70">
      <c r="A70" s="2" t="n">
        <v>69</v>
      </c>
      <c r="B70" s="2" t="inlineStr">
        <is>
          <t>STR-010</t>
        </is>
      </c>
      <c r="C70" s="2" t="inlineStr">
        <is>
          <t>Stair stringer steel 250x3mm</t>
        </is>
      </c>
      <c r="D70" s="2" t="inlineStr">
        <is>
          <t>no</t>
        </is>
      </c>
      <c r="E70" s="2" t="n">
        <v>2</v>
      </c>
      <c r="F70" s="2" t="n">
        <v>185</v>
      </c>
      <c r="G70" s="2">
        <f>E70*F70</f>
        <v/>
      </c>
      <c r="H70" s="2" t="inlineStr">
        <is>
          <t>Stairs</t>
        </is>
      </c>
      <c r="I70" s="2" t="inlineStr"/>
    </row>
    <row r="71">
      <c r="A71" s="2" t="n">
        <v>70</v>
      </c>
      <c r="B71" s="2" t="inlineStr">
        <is>
          <t>STR-011</t>
        </is>
      </c>
      <c r="C71" s="2" t="inlineStr">
        <is>
          <t>Stair tread hardwood 250x32mm</t>
        </is>
      </c>
      <c r="D71" s="2" t="inlineStr">
        <is>
          <t>no</t>
        </is>
      </c>
      <c r="E71" s="2" t="n">
        <v>8</v>
      </c>
      <c r="F71" s="2" t="n">
        <v>45</v>
      </c>
      <c r="G71" s="2">
        <f>E71*F71</f>
        <v/>
      </c>
      <c r="H71" s="2" t="inlineStr">
        <is>
          <t>Stairs</t>
        </is>
      </c>
      <c r="I71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0" customWidth="1" min="3" max="3"/>
  </cols>
  <sheetData>
    <row r="1">
      <c r="A1" s="3" t="inlineStr">
        <is>
          <t>Element</t>
        </is>
      </c>
      <c r="B1" s="3" t="inlineStr">
        <is>
          <t>Value</t>
        </is>
      </c>
      <c r="C1" s="3" t="inlineStr">
        <is>
          <t>Unit</t>
        </is>
      </c>
    </row>
    <row r="2">
      <c r="A2" s="2" t="inlineStr">
        <is>
          <t>total_floor_area</t>
        </is>
      </c>
      <c r="B2" s="2" t="n">
        <v>110</v>
      </c>
      <c r="C2" s="2" t="inlineStr">
        <is>
          <t>m²</t>
        </is>
      </c>
    </row>
    <row r="3">
      <c r="A3" s="2" t="inlineStr">
        <is>
          <t>total_wall_length</t>
        </is>
      </c>
      <c r="B3" s="2" t="n">
        <v>82</v>
      </c>
      <c r="C3" s="2" t="inlineStr">
        <is>
          <t>lm</t>
        </is>
      </c>
    </row>
    <row r="4">
      <c r="A4" s="2" t="inlineStr">
        <is>
          <t>external_wall_length</t>
        </is>
      </c>
      <c r="B4" s="2" t="n">
        <v>48</v>
      </c>
      <c r="C4" s="2" t="inlineStr">
        <is>
          <t>lm</t>
        </is>
      </c>
    </row>
    <row r="5">
      <c r="A5" s="2" t="inlineStr">
        <is>
          <t>internal_wall_length</t>
        </is>
      </c>
      <c r="B5" s="2" t="n">
        <v>34</v>
      </c>
      <c r="C5" s="2" t="inlineStr">
        <is>
          <t>lm</t>
        </is>
      </c>
    </row>
    <row r="6">
      <c r="A6" s="2" t="inlineStr">
        <is>
          <t>roof_area</t>
        </is>
      </c>
      <c r="B6" s="2" t="n">
        <v>135</v>
      </c>
      <c r="C6" s="2" t="inlineStr">
        <is>
          <t>m²</t>
        </is>
      </c>
    </row>
    <row r="7">
      <c r="A7" s="2" t="inlineStr">
        <is>
          <t>roof_perimeter</t>
        </is>
      </c>
      <c r="B7" s="2" t="n">
        <v>52</v>
      </c>
      <c r="C7" s="2" t="inlineStr">
        <is>
          <t>lm</t>
        </is>
      </c>
    </row>
    <row r="8">
      <c r="A8" s="2" t="inlineStr">
        <is>
          <t>verandah_area</t>
        </is>
      </c>
      <c r="B8" s="2" t="n">
        <v>24</v>
      </c>
      <c r="C8" s="2" t="inlineStr">
        <is>
          <t>m²</t>
        </is>
      </c>
    </row>
    <row r="9">
      <c r="A9" s="2" t="inlineStr">
        <is>
          <t>ceiling_area</t>
        </is>
      </c>
      <c r="B9" s="2" t="n">
        <v>110</v>
      </c>
      <c r="C9" s="2" t="inlineStr">
        <is>
          <t>m²</t>
        </is>
      </c>
    </row>
    <row r="10">
      <c r="A10" s="2" t="inlineStr">
        <is>
          <t>door_count</t>
        </is>
      </c>
      <c r="B10" s="2" t="n">
        <v>7</v>
      </c>
      <c r="C10" s="2" t="inlineStr">
        <is>
          <t>no</t>
        </is>
      </c>
    </row>
    <row r="11">
      <c r="A11" s="2" t="inlineStr">
        <is>
          <t>window_count</t>
        </is>
      </c>
      <c r="B11" s="2" t="n">
        <v>6</v>
      </c>
      <c r="C11" s="2" t="inlineStr">
        <is>
          <t>no</t>
        </is>
      </c>
    </row>
    <row r="12">
      <c r="A12" s="2" t="inlineStr">
        <is>
          <t>post_count</t>
        </is>
      </c>
      <c r="B12" s="2" t="n">
        <v>12</v>
      </c>
      <c r="C12" s="2" t="inlineStr">
        <is>
          <t>no</t>
        </is>
      </c>
    </row>
    <row r="13">
      <c r="A13" s="2" t="inlineStr">
        <is>
          <t>stair_count</t>
        </is>
      </c>
      <c r="B13" s="2" t="n">
        <v>1</v>
      </c>
      <c r="C13" s="2" t="inlineStr">
        <is>
          <t>no</t>
        </is>
      </c>
    </row>
    <row r="14">
      <c r="A14" s="2" t="inlineStr">
        <is>
          <t>room_count</t>
        </is>
      </c>
      <c r="B14" s="2" t="n">
        <v>7</v>
      </c>
      <c r="C14" s="2" t="inlineStr">
        <is>
          <t>no</t>
        </is>
      </c>
    </row>
    <row r="15">
      <c r="A15" s="2" t="inlineStr">
        <is>
          <t>floor_height</t>
        </is>
      </c>
      <c r="B15" s="2" t="n">
        <v>600</v>
      </c>
      <c r="C15" s="2" t="inlineStr">
        <is>
          <t>mm</t>
        </is>
      </c>
    </row>
    <row r="16">
      <c r="A16" s="2" t="inlineStr">
        <is>
          <t>wall_height</t>
        </is>
      </c>
      <c r="B16" s="2" t="n">
        <v>2700</v>
      </c>
      <c r="C16" s="2" t="inlineStr">
        <is>
          <t>mm</t>
        </is>
      </c>
    </row>
    <row r="17">
      <c r="A17" s="2" t="inlineStr">
        <is>
          <t>roof_pitch</t>
        </is>
      </c>
      <c r="B17" s="2" t="n">
        <v>22.5</v>
      </c>
      <c r="C17" s="2" t="inlineStr">
        <is>
          <t>degrees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2" customWidth="1" min="3" max="3"/>
    <col width="40" customWidth="1" min="4" max="4"/>
    <col width="12" customWidth="1" min="5" max="5"/>
    <col width="45" customWidth="1" min="6" max="6"/>
  </cols>
  <sheetData>
    <row r="1">
      <c r="A1" s="1" t="inlineStr">
        <is>
          <t>Rule ID</t>
        </is>
      </c>
      <c r="B1" s="1" t="inlineStr">
        <is>
          <t>Target Item</t>
        </is>
      </c>
      <c r="C1" s="1" t="inlineStr">
        <is>
          <t>Depends On</t>
        </is>
      </c>
      <c r="D1" s="1" t="inlineStr">
        <is>
          <t>Formula</t>
        </is>
      </c>
      <c r="E1" s="1" t="inlineStr">
        <is>
          <t>Multiplier</t>
        </is>
      </c>
      <c r="F1" s="1" t="inlineStr">
        <is>
          <t>Description</t>
        </is>
      </c>
    </row>
    <row r="2">
      <c r="A2" s="2" t="inlineStr">
        <is>
          <t>R-001</t>
        </is>
      </c>
      <c r="B2" s="2" t="inlineStr">
        <is>
          <t>ROF-002</t>
        </is>
      </c>
      <c r="C2" s="2" t="inlineStr">
        <is>
          <t>roof_area</t>
        </is>
      </c>
      <c r="D2" s="2" t="inlineStr">
        <is>
          <t>roof_area / 0.9</t>
        </is>
      </c>
      <c r="E2" s="2" t="n"/>
      <c r="F2" s="2" t="inlineStr">
        <is>
          <t>Roof battens at 900mm spacing</t>
        </is>
      </c>
    </row>
    <row r="3">
      <c r="A3" s="2" t="inlineStr">
        <is>
          <t>R-002</t>
        </is>
      </c>
      <c r="B3" s="2" t="inlineStr">
        <is>
          <t>ROF-003</t>
        </is>
      </c>
      <c r="C3" s="2" t="inlineStr">
        <is>
          <t>roof_area</t>
        </is>
      </c>
      <c r="D3" s="2" t="inlineStr">
        <is>
          <t>roof_area * 1.08</t>
        </is>
      </c>
      <c r="E3" s="2" t="n"/>
      <c r="F3" s="2" t="inlineStr">
        <is>
          <t>Roof underlay with 8% overlap</t>
        </is>
      </c>
    </row>
    <row r="4">
      <c r="A4" s="2" t="inlineStr">
        <is>
          <t>R-003</t>
        </is>
      </c>
      <c r="B4" s="2" t="inlineStr">
        <is>
          <t>ROF-009</t>
        </is>
      </c>
      <c r="C4" s="2" t="inlineStr">
        <is>
          <t>roof_area</t>
        </is>
      </c>
      <c r="D4" s="2" t="inlineStr">
        <is>
          <t>proportional</t>
        </is>
      </c>
      <c r="E4" s="2" t="n">
        <v>1</v>
      </c>
      <c r="F4" s="2" t="inlineStr">
        <is>
          <t>Roof screws scale with roof area</t>
        </is>
      </c>
    </row>
    <row r="5">
      <c r="A5" s="2" t="inlineStr">
        <is>
          <t>R-004</t>
        </is>
      </c>
      <c r="B5" s="2" t="inlineStr">
        <is>
          <t>ROF-006</t>
        </is>
      </c>
      <c r="C5" s="2" t="inlineStr">
        <is>
          <t>roof_perimeter</t>
        </is>
      </c>
      <c r="D5" s="2" t="inlineStr">
        <is>
          <t>roof_perimeter * 0.5</t>
        </is>
      </c>
      <c r="E5" s="2" t="n"/>
      <c r="F5" s="2" t="inlineStr">
        <is>
          <t>Fascia ~50% of roof perimeter</t>
        </is>
      </c>
    </row>
    <row r="6">
      <c r="A6" s="2" t="inlineStr">
        <is>
          <t>R-005</t>
        </is>
      </c>
      <c r="B6" s="2" t="inlineStr">
        <is>
          <t>ROF-007</t>
        </is>
      </c>
      <c r="C6" s="2" t="inlineStr">
        <is>
          <t>roof_perimeter</t>
        </is>
      </c>
      <c r="D6" s="2" t="inlineStr">
        <is>
          <t>roof_perimeter * 0.7</t>
        </is>
      </c>
      <c r="E6" s="2" t="n"/>
      <c r="F6" s="2" t="inlineStr">
        <is>
          <t>Gutters ~70% of roof perimeter</t>
        </is>
      </c>
    </row>
    <row r="7">
      <c r="A7" s="2" t="inlineStr">
        <is>
          <t>R-006</t>
        </is>
      </c>
      <c r="B7" s="2" t="inlineStr">
        <is>
          <t>ROF-008</t>
        </is>
      </c>
      <c r="C7" s="2" t="inlineStr">
        <is>
          <t>roof_perimeter</t>
        </is>
      </c>
      <c r="D7" s="2" t="inlineStr">
        <is>
          <t>roof_perimeter * 0.35</t>
        </is>
      </c>
      <c r="E7" s="2" t="n"/>
      <c r="F7" s="2" t="inlineStr">
        <is>
          <t>Downpipes ~35% of perimeter</t>
        </is>
      </c>
    </row>
    <row r="8">
      <c r="A8" s="2" t="inlineStr">
        <is>
          <t>R-007</t>
        </is>
      </c>
      <c r="B8" s="2" t="inlineStr">
        <is>
          <t>WAL-001</t>
        </is>
      </c>
      <c r="C8" s="2" t="inlineStr">
        <is>
          <t>total_wall_length</t>
        </is>
      </c>
      <c r="D8" s="2" t="inlineStr">
        <is>
          <t>total_wall_length * 2.7 / 0.6</t>
        </is>
      </c>
      <c r="E8" s="2" t="n"/>
      <c r="F8" s="2" t="inlineStr">
        <is>
          <t>Wall studs at 600mm spacing x wall height</t>
        </is>
      </c>
    </row>
    <row r="9">
      <c r="A9" s="2" t="inlineStr">
        <is>
          <t>R-008</t>
        </is>
      </c>
      <c r="B9" s="2" t="inlineStr">
        <is>
          <t>WAL-002</t>
        </is>
      </c>
      <c r="C9" s="2" t="inlineStr">
        <is>
          <t>external_wall_length</t>
        </is>
      </c>
      <c r="D9" s="2" t="inlineStr">
        <is>
          <t>external_wall_length * 2.7 / 2.88</t>
        </is>
      </c>
      <c r="E9" s="2" t="n"/>
      <c r="F9" s="2" t="inlineStr">
        <is>
          <t>FC sheets: wall area / sheet area (2.88m²)</t>
        </is>
      </c>
    </row>
    <row r="10">
      <c r="A10" s="2" t="inlineStr">
        <is>
          <t>R-009</t>
        </is>
      </c>
      <c r="B10" s="2" t="inlineStr">
        <is>
          <t>WAL-003</t>
        </is>
      </c>
      <c r="C10" s="2" t="inlineStr">
        <is>
          <t>external_wall_length</t>
        </is>
      </c>
      <c r="D10" s="2" t="inlineStr">
        <is>
          <t>external_wall_length * 2.7 * 1.05</t>
        </is>
      </c>
      <c r="E10" s="2" t="n"/>
      <c r="F10" s="2" t="inlineStr">
        <is>
          <t>Wall wrap: ext wall area + 5% overlap</t>
        </is>
      </c>
    </row>
    <row r="11">
      <c r="A11" s="2" t="inlineStr">
        <is>
          <t>R-010</t>
        </is>
      </c>
      <c r="B11" s="2" t="inlineStr">
        <is>
          <t>WAL-005</t>
        </is>
      </c>
      <c r="C11" s="2" t="inlineStr">
        <is>
          <t>internal_wall_length</t>
        </is>
      </c>
      <c r="D11" s="2" t="inlineStr">
        <is>
          <t>internal_wall_length * 2.7 * 2 / 2.88</t>
        </is>
      </c>
      <c r="E11" s="2" t="n"/>
      <c r="F11" s="2" t="inlineStr">
        <is>
          <t>Plasterboard: both sides of internal walls</t>
        </is>
      </c>
    </row>
    <row r="12">
      <c r="A12" s="2" t="inlineStr">
        <is>
          <t>R-011</t>
        </is>
      </c>
      <c r="B12" s="2" t="inlineStr">
        <is>
          <t>CEL-001</t>
        </is>
      </c>
      <c r="C12" s="2" t="inlineStr">
        <is>
          <t>ceiling_area</t>
        </is>
      </c>
      <c r="D12" s="2" t="inlineStr">
        <is>
          <t>ceiling_area / 0.45 * 1.05</t>
        </is>
      </c>
      <c r="E12" s="2" t="n"/>
      <c r="F12" s="2" t="inlineStr">
        <is>
          <t>Ceiling battens at 450mm spacing + 5%</t>
        </is>
      </c>
    </row>
    <row r="13">
      <c r="A13" s="2" t="inlineStr">
        <is>
          <t>R-012</t>
        </is>
      </c>
      <c r="B13" s="2" t="inlineStr">
        <is>
          <t>CEL-002</t>
        </is>
      </c>
      <c r="C13" s="2" t="inlineStr">
        <is>
          <t>ceiling_area</t>
        </is>
      </c>
      <c r="D13" s="2" t="inlineStr">
        <is>
          <t>ceiling_area / 2.88</t>
        </is>
      </c>
      <c r="E13" s="2" t="n"/>
      <c r="F13" s="2" t="inlineStr">
        <is>
          <t>Ceiling boards: area / sheet size</t>
        </is>
      </c>
    </row>
    <row r="14">
      <c r="A14" s="2" t="inlineStr">
        <is>
          <t>R-013</t>
        </is>
      </c>
      <c r="B14" s="2" t="inlineStr">
        <is>
          <t>CEL-003</t>
        </is>
      </c>
      <c r="C14" s="2" t="inlineStr">
        <is>
          <t>ceiling_area</t>
        </is>
      </c>
      <c r="D14" s="2" t="inlineStr">
        <is>
          <t>ceiling_area * 1.05</t>
        </is>
      </c>
      <c r="E14" s="2" t="n"/>
      <c r="F14" s="2" t="inlineStr">
        <is>
          <t>Ceiling insulation + 5% overlap</t>
        </is>
      </c>
    </row>
    <row r="15">
      <c r="A15" s="2" t="inlineStr">
        <is>
          <t>R-014</t>
        </is>
      </c>
      <c r="B15" s="2" t="inlineStr">
        <is>
          <t>STR-004</t>
        </is>
      </c>
      <c r="C15" s="2" t="inlineStr">
        <is>
          <t>post_count</t>
        </is>
      </c>
      <c r="D15" s="2" t="inlineStr">
        <is>
          <t>post_count</t>
        </is>
      </c>
      <c r="E15" s="2" t="n"/>
      <c r="F15" s="2" t="inlineStr">
        <is>
          <t>One footing per post</t>
        </is>
      </c>
    </row>
    <row r="16">
      <c r="A16" s="2" t="inlineStr">
        <is>
          <t>R-015</t>
        </is>
      </c>
      <c r="B16" s="2" t="inlineStr">
        <is>
          <t>STR-005</t>
        </is>
      </c>
      <c r="C16" s="2" t="inlineStr">
        <is>
          <t>post_count</t>
        </is>
      </c>
      <c r="D16" s="2" t="inlineStr">
        <is>
          <t>post_count</t>
        </is>
      </c>
      <c r="E16" s="2" t="n"/>
      <c r="F16" s="2" t="inlineStr">
        <is>
          <t>One stirrup bracket per post</t>
        </is>
      </c>
    </row>
    <row r="17">
      <c r="A17" s="2" t="inlineStr">
        <is>
          <t>R-016</t>
        </is>
      </c>
      <c r="B17" s="2" t="inlineStr">
        <is>
          <t>STR-006</t>
        </is>
      </c>
      <c r="C17" s="2" t="inlineStr">
        <is>
          <t>post_count</t>
        </is>
      </c>
      <c r="D17" s="2" t="inlineStr">
        <is>
          <t>post_count * 4</t>
        </is>
      </c>
      <c r="E17" s="2" t="n"/>
      <c r="F17" s="2" t="inlineStr">
        <is>
          <t>4 bearer bolts per post</t>
        </is>
      </c>
    </row>
    <row r="18">
      <c r="A18" s="2" t="inlineStr">
        <is>
          <t>R-017</t>
        </is>
      </c>
      <c r="B18" s="2" t="inlineStr">
        <is>
          <t>DOR-004</t>
        </is>
      </c>
      <c r="C18" s="2" t="inlineStr">
        <is>
          <t>door_count</t>
        </is>
      </c>
      <c r="D18" s="2" t="inlineStr">
        <is>
          <t>door_count</t>
        </is>
      </c>
      <c r="E18" s="2" t="n"/>
      <c r="F18" s="2" t="inlineStr">
        <is>
          <t>One frame set per door</t>
        </is>
      </c>
    </row>
    <row r="19">
      <c r="A19" s="2" t="inlineStr">
        <is>
          <t>R-018</t>
        </is>
      </c>
      <c r="B19" s="2" t="inlineStr">
        <is>
          <t>DOR-005</t>
        </is>
      </c>
      <c r="C19" s="2" t="inlineStr">
        <is>
          <t>door_count</t>
        </is>
      </c>
      <c r="D19" s="2" t="inlineStr">
        <is>
          <t>door_count * 3</t>
        </is>
      </c>
      <c r="E19" s="2" t="n"/>
      <c r="F19" s="2" t="inlineStr">
        <is>
          <t>3 hinge pairs per door (1.5 pair per door x 2 = 3)</t>
        </is>
      </c>
    </row>
    <row r="20">
      <c r="A20" s="2" t="inlineStr">
        <is>
          <t>R-019</t>
        </is>
      </c>
      <c r="B20" s="2" t="inlineStr">
        <is>
          <t>DOR-006</t>
        </is>
      </c>
      <c r="C20" s="2" t="inlineStr">
        <is>
          <t>door_count</t>
        </is>
      </c>
      <c r="D20" s="2" t="inlineStr">
        <is>
          <t>door_count</t>
        </is>
      </c>
      <c r="E20" s="2" t="n"/>
      <c r="F20" s="2" t="inlineStr">
        <is>
          <t>One handle set per door</t>
        </is>
      </c>
    </row>
    <row r="21">
      <c r="A21" s="2" t="inlineStr">
        <is>
          <t>R-020</t>
        </is>
      </c>
      <c r="B21" s="2" t="inlineStr">
        <is>
          <t>WIN-004</t>
        </is>
      </c>
      <c r="C21" s="2" t="inlineStr">
        <is>
          <t>window_count</t>
        </is>
      </c>
      <c r="D21" s="2" t="inlineStr">
        <is>
          <t>window_count</t>
        </is>
      </c>
      <c r="E21" s="2" t="n"/>
      <c r="F21" s="2" t="inlineStr">
        <is>
          <t>One flashing kit per window</t>
        </is>
      </c>
    </row>
    <row r="22">
      <c r="A22" s="2" t="inlineStr">
        <is>
          <t>R-021</t>
        </is>
      </c>
      <c r="B22" s="2" t="inlineStr">
        <is>
          <t>WAL-008</t>
        </is>
      </c>
      <c r="C22" s="2" t="inlineStr">
        <is>
          <t>total_wall_length</t>
        </is>
      </c>
      <c r="D22" s="2" t="inlineStr">
        <is>
          <t>proportional</t>
        </is>
      </c>
      <c r="E22" s="2" t="n">
        <v>1</v>
      </c>
      <c r="F22" s="2" t="inlineStr">
        <is>
          <t>Wall screws scale with wall length</t>
        </is>
      </c>
    </row>
    <row r="23">
      <c r="A23" s="2" t="inlineStr">
        <is>
          <t>R-022</t>
        </is>
      </c>
      <c r="B23" s="2" t="inlineStr">
        <is>
          <t>WAL-006</t>
        </is>
      </c>
      <c r="C23" s="2" t="inlineStr">
        <is>
          <t>internal_wall_length</t>
        </is>
      </c>
      <c r="D23" s="2" t="inlineStr">
        <is>
          <t>proportional</t>
        </is>
      </c>
      <c r="E23" s="2" t="n">
        <v>1</v>
      </c>
      <c r="F23" s="2" t="inlineStr">
        <is>
          <t>Jointing compound scales with internal walls</t>
        </is>
      </c>
    </row>
    <row r="24">
      <c r="A24" s="2" t="inlineStr">
        <is>
          <t>R-023</t>
        </is>
      </c>
      <c r="B24" s="2" t="inlineStr">
        <is>
          <t>ROF-010</t>
        </is>
      </c>
      <c r="C24" s="2" t="inlineStr">
        <is>
          <t>roof_area</t>
        </is>
      </c>
      <c r="D24" s="2" t="inlineStr">
        <is>
          <t>roof_area * 0.95</t>
        </is>
      </c>
      <c r="E24" s="2" t="n"/>
      <c r="F24" s="2" t="inlineStr">
        <is>
          <t>Roof insulation ~95% of roof area</t>
        </is>
      </c>
    </row>
    <row r="25">
      <c r="A25" s="2" t="inlineStr">
        <is>
          <t>R-024</t>
        </is>
      </c>
      <c r="B25" s="2" t="inlineStr">
        <is>
          <t>VER-001</t>
        </is>
      </c>
      <c r="C25" s="2" t="inlineStr">
        <is>
          <t>verandah_area</t>
        </is>
      </c>
      <c r="D25" s="2" t="inlineStr">
        <is>
          <t>verandah_area * 1.1</t>
        </is>
      </c>
      <c r="E25" s="2" t="n"/>
      <c r="F25" s="2" t="inlineStr">
        <is>
          <t>Verandah decking + 10% waste</t>
        </is>
      </c>
    </row>
    <row r="26">
      <c r="A26" s="2" t="inlineStr">
        <is>
          <t>R-025</t>
        </is>
      </c>
      <c r="B26" s="2" t="inlineStr">
        <is>
          <t>FLR-005</t>
        </is>
      </c>
      <c r="C26" s="2" t="inlineStr">
        <is>
          <t>total_wall_length</t>
        </is>
      </c>
      <c r="D26" s="2" t="inlineStr">
        <is>
          <t>total_wall_length * 0.9</t>
        </is>
      </c>
      <c r="E26" s="2" t="n"/>
      <c r="F26" s="2" t="inlineStr">
        <is>
          <t>Skirting ~90% of wall length (less doors)</t>
        </is>
      </c>
    </row>
    <row r="27">
      <c r="A27" s="2" t="inlineStr">
        <is>
          <t>R-026</t>
        </is>
      </c>
      <c r="B27" s="2" t="inlineStr">
        <is>
          <t>WPF-001</t>
        </is>
      </c>
      <c r="C27" s="2" t="inlineStr">
        <is>
          <t>total_floor_area</t>
        </is>
      </c>
      <c r="D27" s="2" t="inlineStr">
        <is>
          <t>proportional</t>
        </is>
      </c>
      <c r="E27" s="2" t="n">
        <v>0.11</v>
      </c>
      <c r="F27" s="2" t="inlineStr">
        <is>
          <t>Waterproofing ~11% of floor area (wet areas)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2026-03-18T23:08:45Z</dcterms:created>
  <dcterms:modified xsi:type="dcterms:W3CDTF">2026-03-18T23:08:45Z</dcterms:modified>
</cp:coreProperties>
</file>